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4"/>
    <sheet state="visible" name="Companies" sheetId="2" r:id="rId5"/>
    <sheet state="visible" name="Pledges" sheetId="3" r:id="rId6"/>
    <sheet state="visible" name="Documents" sheetId="4" r:id="rId7"/>
    <sheet state="visible" name="Analysis 1 Pledges" sheetId="5" r:id="rId8"/>
    <sheet state="visible" name="Analysis 2 Timeline" sheetId="6" r:id="rId9"/>
    <sheet state="visible" name="Analysis 3 Materials" sheetId="7" r:id="rId10"/>
  </sheets>
  <definedNames>
    <definedName hidden="1" localSheetId="1" name="_xlnm._FilterDatabase">Companies!$A$3:$R$20</definedName>
    <definedName hidden="1" localSheetId="2" name="_xlnm._FilterDatabase">Pledges!$A$3:$AA$471</definedName>
    <definedName hidden="1" localSheetId="3" name="_xlnm._FilterDatabase">Documents!$A$3:$F$295</definedName>
    <definedName hidden="1" localSheetId="5" name="_xlnm._FilterDatabase">'Analysis 2 Timeline'!$A$4:$E$260</definedName>
    <definedName hidden="1" localSheetId="6" name="_xlnm._FilterDatabase">'Analysis 3 Materials'!$A$2:$K$33</definedName>
    <definedName hidden="1" localSheetId="2" name="Z_2A4A3E25_35FC_4AEB_A4A9_BB4701332593_.wvu.FilterData">Pledges!$A$3:$AA$471</definedName>
    <definedName hidden="1" localSheetId="2" name="Z_984B896A_6BAE_4F72_A31A_1BEDF194AA0E_.wvu.FilterData">Pledges!$A$3:$AA$471</definedName>
  </definedNames>
  <calcPr/>
  <customWorkbookViews>
    <customWorkbookView activeSheetId="0" maximized="1" windowHeight="0" windowWidth="0" guid="{2A4A3E25-35FC-4AEB-A4A9-BB4701332593}" name="Adidas"/>
    <customWorkbookView activeSheetId="0" maximized="1" windowHeight="0" windowWidth="0" guid="{984B896A-6BAE-4F72-A31A-1BEDF194AA0E}" name="H&amp;M"/>
  </customWorkbookViews>
  <pivotCaches>
    <pivotCache cacheId="0" r:id="rId11"/>
    <pivotCache cacheId="1" r:id="rId12"/>
  </pivotCaches>
</workbook>
</file>

<file path=xl/sharedStrings.xml><?xml version="1.0" encoding="utf-8"?>
<sst xmlns="http://schemas.openxmlformats.org/spreadsheetml/2006/main" count="7535" uniqueCount="1975">
  <si>
    <t>European Companies' Plastics Promises</t>
  </si>
  <si>
    <t>We investigated almost 500 sustainability claims from 17 of the biggest European fashion companies to find who can keep their commitments, and who skirts the issue.</t>
  </si>
  <si>
    <t>This is the database behind this collaboration. You can find more information, as well as a link to all articles that came out of this investigation, in this GitHub repository:</t>
  </si>
  <si>
    <t>https://github.com/dw-data/sustainable-fashion</t>
  </si>
  <si>
    <t>Database Overview</t>
  </si>
  <si>
    <t>Companies</t>
  </si>
  <si>
    <t>list of companies included in this investigation</t>
  </si>
  <si>
    <t>Pledges</t>
  </si>
  <si>
    <t>list of pledges collected</t>
  </si>
  <si>
    <t>Documents</t>
  </si>
  <si>
    <t>list of documents checked for each company</t>
  </si>
  <si>
    <t>Analysis 1: Pledges</t>
  </si>
  <si>
    <t>Pivot tables showing e.g. the number of pledges by company, status or specificity</t>
  </si>
  <si>
    <t>Analysis 2: Timeline</t>
  </si>
  <si>
    <t>Summary of reports by year, with number of pledges found in each</t>
  </si>
  <si>
    <t>Analysis 3: Materials</t>
  </si>
  <si>
    <t>Excerpt of pledges relating to cotton and leather, respectively</t>
  </si>
  <si>
    <t>Database Structure</t>
  </si>
  <si>
    <t>category</t>
  </si>
  <si>
    <t>column</t>
  </si>
  <si>
    <t>content</t>
  </si>
  <si>
    <t>Company</t>
  </si>
  <si>
    <t>name of the company</t>
  </si>
  <si>
    <t>ID</t>
  </si>
  <si>
    <t>Numeric pledge ID</t>
  </si>
  <si>
    <t>Country</t>
  </si>
  <si>
    <t>country of company headquarter / origin</t>
  </si>
  <si>
    <t>name of company</t>
  </si>
  <si>
    <t>Main sectors</t>
  </si>
  <si>
    <t>note on type of company</t>
  </si>
  <si>
    <t>pledge status</t>
  </si>
  <si>
    <t>achieved, failed, future or unclear</t>
  </si>
  <si>
    <t>Publicly listed?</t>
  </si>
  <si>
    <t>yes or no. is this a publicly listed company?</t>
  </si>
  <si>
    <t>Company response</t>
  </si>
  <si>
    <t>Free-text entry for company comment on respective pledge</t>
  </si>
  <si>
    <t>Revenue</t>
  </si>
  <si>
    <t>annual revenue of company</t>
  </si>
  <si>
    <t>Analysis categories</t>
  </si>
  <si>
    <t>specificity</t>
  </si>
  <si>
    <t>how clearly defined is the pledge?</t>
  </si>
  <si>
    <t>Revenue Year</t>
  </si>
  <si>
    <t>year this refers to</t>
  </si>
  <si>
    <t>type/topic of promise</t>
  </si>
  <si>
    <t>Revenue Unit</t>
  </si>
  <si>
    <t>unit this is measured in</t>
  </si>
  <si>
    <t>subcategory</t>
  </si>
  <si>
    <t>if applicable, finer category for further analysis</t>
  </si>
  <si>
    <t>Revenue Source</t>
  </si>
  <si>
    <t>link to / name of source for this info</t>
  </si>
  <si>
    <t>Pledge info</t>
  </si>
  <si>
    <t>pledge year</t>
  </si>
  <si>
    <t>year the promise was made</t>
  </si>
  <si>
    <t>Employees</t>
  </si>
  <si>
    <t>number of employees</t>
  </si>
  <si>
    <t>goal year</t>
  </si>
  <si>
    <t>target year</t>
  </si>
  <si>
    <t>Employees Source</t>
  </si>
  <si>
    <t>goal description</t>
  </si>
  <si>
    <t>free-text description</t>
  </si>
  <si>
    <t>Retail volume</t>
  </si>
  <si>
    <t>number of articles / volume of material sold annually</t>
  </si>
  <si>
    <t>goal value</t>
  </si>
  <si>
    <t>(numeric) value of target, if applicable</t>
  </si>
  <si>
    <t>Retail volume year</t>
  </si>
  <si>
    <t>goal unit</t>
  </si>
  <si>
    <t>Retail volume unit</t>
  </si>
  <si>
    <t>report year</t>
  </si>
  <si>
    <t>year the pledge was sourced from, extracted from "goal source"</t>
  </si>
  <si>
    <t>Retail volume source</t>
  </si>
  <si>
    <t>goal source</t>
  </si>
  <si>
    <t>link to source</t>
  </si>
  <si>
    <t>Sustainability info</t>
  </si>
  <si>
    <t>Company Website</t>
  </si>
  <si>
    <t>link to company website</t>
  </si>
  <si>
    <t>goal Notes</t>
  </si>
  <si>
    <t>additional info, e.g. page in source document</t>
  </si>
  <si>
    <t>Sustainability website</t>
  </si>
  <si>
    <t>link to company sustainability website</t>
  </si>
  <si>
    <t>Reality: Baseline year</t>
  </si>
  <si>
    <t>baseline year</t>
  </si>
  <si>
    <t>Shop Website</t>
  </si>
  <si>
    <t>link to online shop of company</t>
  </si>
  <si>
    <t>baseline description</t>
  </si>
  <si>
    <t>First sustainability report year</t>
  </si>
  <si>
    <t>year the company first published a sustainability report</t>
  </si>
  <si>
    <t>baseline value</t>
  </si>
  <si>
    <t>(numeric) value in baseline year</t>
  </si>
  <si>
    <t>baseline unit</t>
  </si>
  <si>
    <t>baseline source</t>
  </si>
  <si>
    <t>baseline Notes</t>
  </si>
  <si>
    <t>Reality: Goal year / most recent year</t>
  </si>
  <si>
    <t>target/current year</t>
  </si>
  <si>
    <t>target year or most recent year for which documentation is available</t>
  </si>
  <si>
    <t>target description</t>
  </si>
  <si>
    <t>current value</t>
  </si>
  <si>
    <t>(numeric) value in target year</t>
  </si>
  <si>
    <t>target unit</t>
  </si>
  <si>
    <t>target source</t>
  </si>
  <si>
    <t>target Notes</t>
  </si>
  <si>
    <t>Companies covered in this investigation</t>
  </si>
  <si>
    <t>Adidas</t>
  </si>
  <si>
    <t>Germany</t>
  </si>
  <si>
    <t>sportswear</t>
  </si>
  <si>
    <t>yes</t>
  </si>
  <si>
    <t>USD billion</t>
  </si>
  <si>
    <t>companiesmarketcap</t>
  </si>
  <si>
    <t>tonnes of material used for products</t>
  </si>
  <si>
    <t>Annual report 2024, E5-4 – Resource inflows</t>
  </si>
  <si>
    <t>https://www.adidas-group.com/en/</t>
  </si>
  <si>
    <t>https://www.adidas.de/go/campaign/impact/planet</t>
  </si>
  <si>
    <t>https://www.adidas.de/</t>
  </si>
  <si>
    <t>Armani Group</t>
  </si>
  <si>
    <t>Italy</t>
  </si>
  <si>
    <t>luxury goods</t>
  </si>
  <si>
    <t>no</t>
  </si>
  <si>
    <t>euro</t>
  </si>
  <si>
    <t>journalistic source</t>
  </si>
  <si>
    <r>
      <rPr>
        <color rgb="FF434343"/>
        <u/>
      </rPr>
      <t>company's report</t>
    </r>
    <r>
      <rPr>
        <color rgb="FF000000"/>
      </rPr>
      <t xml:space="preserve"> 2023</t>
    </r>
  </si>
  <si>
    <t>Tons of CO2 equivalent emission for the company’s supply chain (Scope 3)</t>
  </si>
  <si>
    <t>Company's Sustainability Report 2023, p. 38-39</t>
  </si>
  <si>
    <t>https://www.armani.com/</t>
  </si>
  <si>
    <t>https://armanivalues.com/</t>
  </si>
  <si>
    <t>Chanel</t>
  </si>
  <si>
    <t>France</t>
  </si>
  <si>
    <t>billion dollars</t>
  </si>
  <si>
    <t>company's report</t>
  </si>
  <si>
    <t>https://www.chanel.com</t>
  </si>
  <si>
    <t>https://www.chanel.com/gb/sustainability/</t>
  </si>
  <si>
    <t>Ermenegildo Zegna</t>
  </si>
  <si>
    <t>https://www.zegnagroup.com/</t>
  </si>
  <si>
    <t>https://www.zegna.com/</t>
  </si>
  <si>
    <t>H&amp;M</t>
  </si>
  <si>
    <t>Sweden</t>
  </si>
  <si>
    <t>fashion retail</t>
  </si>
  <si>
    <t>tonnes of material in commercial products</t>
  </si>
  <si>
    <t>Annual report 2024, p.39</t>
  </si>
  <si>
    <t>https://hmgroup.com/</t>
  </si>
  <si>
    <t>https://hmgroup.com/sustainability/</t>
  </si>
  <si>
    <t>https://www2.hm.com/de_de/index.html</t>
  </si>
  <si>
    <t>Hermès</t>
  </si>
  <si>
    <t>https://www.hermes.com/be/</t>
  </si>
  <si>
    <t>https://finance.hermes.com/en/a-value-creating-and-sustainable-french-model/</t>
  </si>
  <si>
    <t>2005(?)</t>
  </si>
  <si>
    <t>Inditex</t>
  </si>
  <si>
    <t>Spain</t>
  </si>
  <si>
    <t>Annual Report 2024</t>
  </si>
  <si>
    <t>tonnes of garments placed on the market</t>
  </si>
  <si>
    <t>Annual report, 2019</t>
  </si>
  <si>
    <t>https://www.inditex.com/itxcomweb/es/en/home</t>
  </si>
  <si>
    <t>https://www.inditex.com/itxcomweb/es/en/sustainability#overview</t>
  </si>
  <si>
    <t>https://www.zara.com/es/</t>
  </si>
  <si>
    <t>L'Oréal</t>
  </si>
  <si>
    <t>cosmetics and beauty</t>
  </si>
  <si>
    <t>billion euro</t>
  </si>
  <si>
    <r>
      <rPr>
        <color rgb="FF434343"/>
        <u/>
      </rPr>
      <t>company's report</t>
    </r>
    <r>
      <rPr>
        <color rgb="FF000000"/>
      </rPr>
      <t>, approximate figure</t>
    </r>
  </si>
  <si>
    <t>https://www.loreal.com/</t>
  </si>
  <si>
    <t>https://www.loreal.com/en/commitments-and-responsibilities/for-the-planet/</t>
  </si>
  <si>
    <t>Each brand has its own</t>
  </si>
  <si>
    <t>LVMH</t>
  </si>
  <si>
    <t>million euro</t>
  </si>
  <si>
    <t>https://www.lvmh.com</t>
  </si>
  <si>
    <t>https://www.lvmh.com/en/commitment-in-action/for-the-environment</t>
  </si>
  <si>
    <t>2012?</t>
  </si>
  <si>
    <t>Mango</t>
  </si>
  <si>
    <t>2004 (in 2013: "This Sustainability Report, the Group’s tenth,...")</t>
  </si>
  <si>
    <t>Moncler</t>
  </si>
  <si>
    <t>company's website</t>
  </si>
  <si>
    <t>https://www.monclergroup.com/en</t>
  </si>
  <si>
    <t>https://www.monclergroup.com/en/sustainability</t>
  </si>
  <si>
    <t>https://www.moncler.com/en-bg/genius/collections/moncler-x-asap-rocky</t>
  </si>
  <si>
    <t>OVS S.p.A.</t>
  </si>
  <si>
    <t>Raw materials purchased in tons</t>
  </si>
  <si>
    <t>Financial Report 2024</t>
  </si>
  <si>
    <t>https://www.ovscorporate.it/</t>
  </si>
  <si>
    <t>https://www.ovscorporate.it/sostenibilita/il-nostro-percorso</t>
  </si>
  <si>
    <t>https://www.ovs.it/</t>
  </si>
  <si>
    <t>2016 (until 2019 it was comprised in the the FYR)</t>
  </si>
  <si>
    <t>Prada Groupd</t>
  </si>
  <si>
    <t>Key raw materials purchased in tons</t>
  </si>
  <si>
    <t>Sustainability Report 2024</t>
  </si>
  <si>
    <t>https://www.pradagroup.com/</t>
  </si>
  <si>
    <t>https://www.pradagroup.com/en/sustainability/prada-impact/impact.html</t>
  </si>
  <si>
    <t>https://www.prada.com/</t>
  </si>
  <si>
    <t>PUMA</t>
  </si>
  <si>
    <t>https://about.puma.com/en</t>
  </si>
  <si>
    <t>https://about.puma.com/en/sustainability</t>
  </si>
  <si>
    <t>https://eu.puma.com/be/fr/home</t>
  </si>
  <si>
    <t>Salvatore Ferragamo</t>
  </si>
  <si>
    <t>Annual report Ferragamo 2024</t>
  </si>
  <si>
    <t>https://group.ferragamo.com/</t>
  </si>
  <si>
    <t>https://sustainability.ferragamo.com/</t>
  </si>
  <si>
    <t>https://www.ferragamo.com/</t>
  </si>
  <si>
    <t>Zalando</t>
  </si>
  <si>
    <t>online fashion retail</t>
  </si>
  <si>
    <t>couldn't find one, not disclosed</t>
  </si>
  <si>
    <t>https://corporate.zalando.com/en</t>
  </si>
  <si>
    <t>https://corporate.zalando.com/en/sustainability</t>
  </si>
  <si>
    <t>https://web.archive.org/web/20201021220334/https://corporate.zalando.com/en/sustainability</t>
  </si>
  <si>
    <t>Primark</t>
  </si>
  <si>
    <t>Ireland</t>
  </si>
  <si>
    <t>UK sterling</t>
  </si>
  <si>
    <t>parent company report</t>
  </si>
  <si>
    <t>https://corporate.primark.com/en-ie</t>
  </si>
  <si>
    <t>https://corporate.primark.com/en-gb/a/primark-cares/our-approach/protecting-our-planet</t>
  </si>
  <si>
    <t>https://www.primark.com/</t>
  </si>
  <si>
    <t>Pledges collected</t>
  </si>
  <si>
    <t>achieved</t>
  </si>
  <si>
    <t>high</t>
  </si>
  <si>
    <t>hazardous substances</t>
  </si>
  <si>
    <t>solvent-based adhesives</t>
  </si>
  <si>
    <t>To reduce solvent use from 80 grams to 50 grams per pair of shoes.</t>
  </si>
  <si>
    <t>grams VOCs per pair</t>
  </si>
  <si>
    <t>Sustainability Report 2000</t>
  </si>
  <si>
    <t>p.49</t>
  </si>
  <si>
    <t>g VOCs in footwear</t>
  </si>
  <si>
    <t>&lt;40</t>
  </si>
  <si>
    <t>Social and Environmental Report 2001</t>
  </si>
  <si>
    <t>p.42</t>
  </si>
  <si>
    <t>failed</t>
  </si>
  <si>
    <t>sustainable materials</t>
  </si>
  <si>
    <t>PVC</t>
  </si>
  <si>
    <t>All adidas accessories and gear products to be PVC-free by end of 2001.</t>
  </si>
  <si>
    <t>PVC in accessories and gear products</t>
  </si>
  <si>
    <t>&gt;0</t>
  </si>
  <si>
    <t>p.40 "By the beginning of 2002, adidas balls, shinguards, bags and accessories will be PVC-free. Most Salomon bags, gloves and protective gear will be PVC-free by the end of 2002. Our target is to find alternative materials in order to be completely PVC free by 2003"</t>
  </si>
  <si>
    <t>achieve a solvent level close to 25 grams per pair by the end of 2002. in footwear factories</t>
  </si>
  <si>
    <t>close to 25</t>
  </si>
  <si>
    <t>&gt;29</t>
  </si>
  <si>
    <t>Social and Environmental Report 2002</t>
  </si>
  <si>
    <t>p. 48 "Solvent consumption was reduced to 29 grams per pair for adidas footwear, and to 60 grams per pair for Salomon. Certain Salomon footwear styles have not achieved the targets."</t>
  </si>
  <si>
    <t>medium</t>
  </si>
  <si>
    <t>eliminate PVC from products, except for products where appropriate alternatives do not exist, such as for ski boots and a few high-performance sports equipment products.</t>
  </si>
  <si>
    <t>PVC in products</t>
  </si>
  <si>
    <t>Social and Environmental Report 2000</t>
  </si>
  <si>
    <t>p. 36</t>
  </si>
  <si>
    <t>&lt;=10%</t>
  </si>
  <si>
    <t>Social and Environmental Report 2003</t>
  </si>
  <si>
    <t>p37, "Some apparel styles from the international range, covering
approximately 10 percent of all apparel units sold, still use
plastisole inks containing PVC. However, we remain committed
to seeking alternatives to the use of PVC in any of our products.
design development
sourcing production
logistics distribution
innovation research
daily use / end of life
sales administration
management software
&gt; environmental indicators
standardisation
aspects into range
&gt; hse-management systems
&gt; packaging reduction &amp;
&gt; integration of sustainable
substances
&gt; air freight reduction
of product materials
&gt; monitoring hazardous
&gt; environmental assessment
&gt; voc reduction
&gt; 'restricted substances' policy
&gt; water quality guidelines
&gt; policy on pvc-free materials
&gt; hse guidelines
research work on &lt;
research work on end &lt;
hse-guidelines &lt;
recycling concepts
of life solutions
environmental management &lt;
biodegradable materials
collaboration with authorities &lt;
systems for own facilities
best practice approaches
and recycling industry
integrated product policy &lt;
Product life cycle"</t>
  </si>
  <si>
    <t>Reducing VOCs in footwear factories in Asia</t>
  </si>
  <si>
    <t>grams/pair</t>
  </si>
  <si>
    <t>p.43. "We remain committed to achieving our goal of 20 grams/pair" --&gt; 2004 does not contain clear figure</t>
  </si>
  <si>
    <t>p.43</t>
  </si>
  <si>
    <t>p.43. 2015: 15.6 grams, 2008: 21.1 grams/pair</t>
  </si>
  <si>
    <t>waste management</t>
  </si>
  <si>
    <t>No use of one-way dishes or non-compostable one-way dishes</t>
  </si>
  <si>
    <t>https://web.archive.org/web/20101201014824/http://www.adidas-group.com/en/sustainability/Environment/green_company/default.aspx</t>
  </si>
  <si>
    <t>SER 2010 no mention of this</t>
  </si>
  <si>
    <t>No use of one-way dishes or
non-compostable one-way dishes</t>
  </si>
  <si>
    <t>Green Company Report 2011</t>
  </si>
  <si>
    <t>p 12, "While reusable dishes have been introduced in many locations, a complete removal of disposable canteen dishes has proven to be a complex topic with many limitations. It was concluded that this topic cannot be managed globally as the individual local and national requirements and waste management systems need to be considered. Our different sites are working on their individual solutions. Examples and experiences will be shared via a best practice sharing platform."</t>
  </si>
  <si>
    <t>cotton</t>
  </si>
  <si>
    <t>‘Better Cotton’ (‘Sustainable Cotton’) use: 40% by 2015, 100% by 2018 of all cotton used.</t>
  </si>
  <si>
    <t>"Better Cotton" in all cotton</t>
  </si>
  <si>
    <t>Sustainability Report 2010</t>
  </si>
  <si>
    <t>p 23</t>
  </si>
  <si>
    <t>Sustainability report 2015</t>
  </si>
  <si>
    <t>p 38</t>
  </si>
  <si>
    <t>energy</t>
  </si>
  <si>
    <t>Reduction of relative energy use by 20%</t>
  </si>
  <si>
    <t>MWh/m²</t>
  </si>
  <si>
    <t>for Administration offices, own production sites and distribution centers (=not independent factories, which is most of manufacturing)</t>
  </si>
  <si>
    <t>p.81</t>
  </si>
  <si>
    <t>emissions</t>
  </si>
  <si>
    <t>emissions - relative</t>
  </si>
  <si>
    <t>30% carbon savings</t>
  </si>
  <si>
    <t>t/m²</t>
  </si>
  <si>
    <t>water use</t>
  </si>
  <si>
    <t>20% water savings per employee</t>
  </si>
  <si>
    <t>m³/person</t>
  </si>
  <si>
    <t>p.81. but then in report 2020 cites 27% for 2017, how does that line up?</t>
  </si>
  <si>
    <t>Reduction of household waste by 25% per employee</t>
  </si>
  <si>
    <t>t/person</t>
  </si>
  <si>
    <t>50% paper savings per employee</t>
  </si>
  <si>
    <t>unclear</t>
  </si>
  <si>
    <t>In recent years, we have established comprehensive climate targets for both our own operations (scope 1 and 2) and our suppliers (scope 3) and report our progress based on these categories. Emissions from the company car fleet and business travel are consolidated under Scope 1. For own operations (scope 1 and 2)  our target is a reduction of 70% in 2030, measured against a baseline of 2022. In 2024, we already achieved a reduction of 17% compared to the baseline of 2022 for own operations. Our climate targets were validated by the external and independent Science Based Targets initiative to ensure that they are aligned with the targets of the Paris Agreement. In addition, in February 2025, adidas received the top grade “A” for its climate program from the non-profit organization CDP (Carbon Disclosure Project).</t>
  </si>
  <si>
    <t>Business Trip Management: Reduce emissions caused by business travel to 570 kg CO2 per employee</t>
  </si>
  <si>
    <t>kg CO2 per employee</t>
  </si>
  <si>
    <t>p 12</t>
  </si>
  <si>
    <t>no mention from 2012 onwards</t>
  </si>
  <si>
    <t>emissions - absolute</t>
  </si>
  <si>
    <t>‘Green’ Company Car Policy: Reduce carbon emissions caused by the company car fleet by 30%</t>
  </si>
  <si>
    <t>carbon emissions caused by the company car fleet</t>
  </si>
  <si>
    <t>10-15% cut in energy emissions by product output at core suppliers.</t>
  </si>
  <si>
    <t>energy emissions by product output</t>
  </si>
  <si>
    <t>p 49</t>
  </si>
  <si>
    <t>100% of footwear and an increasing amount of appa rel to have ‘more susta inable content’ (by 2012), i.e. to be included into the Better Plac e product range (in 2010 defined as applica ble to the adidas Sports Performance division, but in the meantime expa nded to cover all adidas sub-brands)</t>
  </si>
  <si>
    <t>footwear with "more sustainable content</t>
  </si>
  <si>
    <t>Sustainability Report 2011</t>
  </si>
  <si>
    <t>p 22</t>
  </si>
  <si>
    <t>p 40</t>
  </si>
  <si>
    <t>100% sustainable cotton</t>
  </si>
  <si>
    <t>share of cotton that is more sustainable cotton</t>
  </si>
  <si>
    <t>Sustainability Report 2016</t>
  </si>
  <si>
    <t>p.6</t>
  </si>
  <si>
    <t>source all cotton globally as more sustainable cotton</t>
  </si>
  <si>
    <t>Annual report 2020</t>
  </si>
  <si>
    <t>p.110, through Better Cotton Initiative</t>
  </si>
  <si>
    <t>In September, our CEO Kasper Rorsted brought our commitment to sustainability to a new level by calling on all adidas showrooms, retail stores, distribution centres and offices worldwide to remove single use plastic by the end of 2017</t>
  </si>
  <si>
    <t>single use plastic at adidas showrooms, retail stores, distribution centres and offices</t>
  </si>
  <si>
    <t>Green Company Report 2017</t>
  </si>
  <si>
    <t>p 18</t>
  </si>
  <si>
    <t>single-use plastics</t>
  </si>
  <si>
    <t>Green Company Report 2018</t>
  </si>
  <si>
    <t>p 4 "The results of 2018 prove that the majority of our facilities accepted the challenge and acted as positive role models. They have eliminated  items like plastic bags, to-go cups, straws, coffee stirrers and food packaging."</t>
  </si>
  <si>
    <t>20% water savings at our strategic suppliers</t>
  </si>
  <si>
    <t>water savings compared to 2014</t>
  </si>
  <si>
    <t>reduction in water consumption at strategic Tier 1 supplier facilities</t>
  </si>
  <si>
    <t>p.107</t>
  </si>
  <si>
    <t>50% water savings at our apparel material suppliers</t>
  </si>
  <si>
    <t>water savings compared to 2015</t>
  </si>
  <si>
    <t>reduction in water consumption at strategic
Tier 2 apparel material supplier facilities</t>
  </si>
  <si>
    <t>p.107, target cited as 35% --&gt; goalpost shifted?</t>
  </si>
  <si>
    <t>35% water savings per employee at our own sites</t>
  </si>
  <si>
    <t>water savings compared to 2008</t>
  </si>
  <si>
    <t>p.6. tightened achieved (?) target from 2015</t>
  </si>
  <si>
    <t>reduction in water consumption per employee
(baseline 2008)</t>
  </si>
  <si>
    <t>p.106</t>
  </si>
  <si>
    <t>20% waste reduction at our strategic suppliers</t>
  </si>
  <si>
    <t>waste reduction compared to 2014</t>
  </si>
  <si>
    <t>reduction in waste volume at strategic Tier 1
supplier facilities and strategic Tier 2 apparel
 material supplier facilities</t>
  </si>
  <si>
    <t>50% waste diversion from landfill for owned operations (offices, distribution centers, retail)</t>
  </si>
  <si>
    <t>less landfill waste compared to 2015</t>
  </si>
  <si>
    <t>Green Company Report 2020</t>
  </si>
  <si>
    <t>p 13, no further details</t>
  </si>
  <si>
    <t>75% paper reduction per employee at own sites</t>
  </si>
  <si>
    <t>paper reduction compared to 2008</t>
  </si>
  <si>
    <t>p.6, tightened failed 2015 target</t>
  </si>
  <si>
    <t>p 8</t>
  </si>
  <si>
    <t>20% energy savings at strategic suppliers</t>
  </si>
  <si>
    <t>energy savings compared to 2014</t>
  </si>
  <si>
    <t>reduction in energy consumption at strategic
Tier 1 supplier facilities and strategic Tier 2 apparel
 material supplier facilities</t>
  </si>
  <si>
    <t>3% absolute annual reduction Scope 1&amp;2 emissions at own sites</t>
  </si>
  <si>
    <t>emissions reduction annual compared to 2015</t>
  </si>
  <si>
    <t>absolute reduction in CO2 Scope 1 and
Scope 2 net emissions1 (baseline 2015)</t>
  </si>
  <si>
    <t>share of wool that is certified by Textile Exchange’s Responsible Wool Standard (‘RWS’)</t>
  </si>
  <si>
    <t>share of wool that is certified by Textile Exchange’s Responsible ool Standard (‘RWS’)</t>
  </si>
  <si>
    <t>Annual Report 2023</t>
  </si>
  <si>
    <t>p 95</t>
  </si>
  <si>
    <t>Group Management Report – Sustainability Statement 2024, table esrs-e1-4-targets-climate-chg</t>
  </si>
  <si>
    <t>p.228</t>
  </si>
  <si>
    <t>share of our polyester to be recycled polyester</t>
  </si>
  <si>
    <t>p.222</t>
  </si>
  <si>
    <t>future</t>
  </si>
  <si>
    <t>Own operations: Achievement of climate neutrality (CO2e)</t>
  </si>
  <si>
    <t>Annual Report 2021</t>
  </si>
  <si>
    <t>p 114</t>
  </si>
  <si>
    <t>Own operations: 15% consumption reduction (m3/m2) vs 2019</t>
  </si>
  <si>
    <t>m3/m2</t>
  </si>
  <si>
    <t>Own operations: 95% diversion rate vs 2019</t>
  </si>
  <si>
    <t>diversion rate</t>
  </si>
  <si>
    <t>15% reduction of GHG emissions per product vs 2017</t>
  </si>
  <si>
    <t>reduction GHG emissions per product</t>
  </si>
  <si>
    <t>Per product: Scope 1 to 3 GHG emissions per product  ('carbon intensity’; in kg CO2e)4 By 2025, reduction of 9% measured against a baseline value of 2022 5</t>
  </si>
  <si>
    <t>kg CO2e per product</t>
  </si>
  <si>
    <t>share of facilities achieving ZDHC Wastewater Foundational Level: improve the quality of wastewater in selected Tier 1 and Tier 2 suppliers, by achieving recognized industry standards.</t>
  </si>
  <si>
    <t>share of facilities</t>
  </si>
  <si>
    <t>p.196, upgraded from 80% in 2021</t>
  </si>
  <si>
    <t>eliminating the use of any restricted substances: number of chemical formulations that meet the highest conformance level according to industry standards.</t>
  </si>
  <si>
    <t>share of chemical formulations</t>
  </si>
  <si>
    <t>reduce the overall water intensity at adidas’ water-intensive Tier 2 production facilities by 40%</t>
  </si>
  <si>
    <t>reduction in water consumption</t>
  </si>
  <si>
    <t>m3/US $ total product output value</t>
  </si>
  <si>
    <t>percent reduction</t>
  </si>
  <si>
    <t>share of waste from Tier 1 and Tier 2 suppliers diverted from landfills by 2025</t>
  </si>
  <si>
    <t>sustainable article share</t>
  </si>
  <si>
    <t>"almost eight out of 10 articles"</t>
  </si>
  <si>
    <t>p.232</t>
  </si>
  <si>
    <t>30% reduction of GHG emissions vs 2017 in Entire value chain (from raw material production to own operations)</t>
  </si>
  <si>
    <t>Scope 1 and 2 GHG emissions  (in tons CO2e) By 2030, reduction of 70% measured against a baseline of 2022</t>
  </si>
  <si>
    <t>tons CO2e</t>
  </si>
  <si>
    <t>"According to the SBTi guidelines, re-baselining is necessary when significant changes occur that could impact the relevance and consistency of existing targets. The divestiture of the Reebok business, formally completed as of February 28, 2022, represents such a significant change. In addition, we have enhanced our GHG emissions accounting since 2022 as considerable effort has been put into gathering more primary data from our suppliers, remaining aligned with international methodology standards. We apply established methodologies to account for the GHG emissions, based on the GHG Protocol, and include all GHG categories material to adidas’ business. ► SEE E1-6 – GROSS SCOPES 1, 2, 3 AND TOTAL GHG EMISSIONS ► SEE EXPLANATORY NOTES TO OUR REPORTED GROSS SCOPES 1, 2, 3 AND TOTAL GHG EMISSIONS
All this led to a change in the baseline from 2017 to 2022. The change in our baseline also required a recalculation of our near-term target (2030). By changing the needed reduction from 30% vs. 2017 to 42% vs. 2022, we account for the changed baseline, while keeping the effort equal."</t>
  </si>
  <si>
    <t>Scope 3 GHG emissions  (in tons CO2e) By 2030, reduction of 42% measured against a baseline of 2022</t>
  </si>
  <si>
    <t>animal products</t>
  </si>
  <si>
    <t>leather</t>
  </si>
  <si>
    <t>Deforestation- and conversion-free (DCF) bovine leather – all bovine leather sourced by adidas, excluding recycled leather and leather trims</t>
  </si>
  <si>
    <t>p.220</t>
  </si>
  <si>
    <t>share of polyester to come from recycled textile waste</t>
  </si>
  <si>
    <t>p.222, 233</t>
  </si>
  <si>
    <t>emissions - net zero</t>
  </si>
  <si>
    <t>Net zero: Scope 1 to 3 GHG emissions (in tons CO2e) By 2050, achieve net-zero GHG emissions across our value chain6</t>
  </si>
  <si>
    <t>"In line with the SBTi criteria, we aim to achieve net-zero by cutting all our possible GHG emissions (by more than 90% against the baseline year 2022) through direct GHG emission reduction actions and neutralizing the residual GHG emissions through permanent carbon removal and storage."</t>
  </si>
  <si>
    <t>Net zero: Cut direct Scope 1 to 3 GHG emissions (in tons CO2e) by 90%</t>
  </si>
  <si>
    <t>low</t>
  </si>
  <si>
    <t>No laying of new PVCflooring (except extensions to or repairs of existing flooring)</t>
  </si>
  <si>
    <t>SER 2002</t>
  </si>
  <si>
    <t>p. 34. All shops opening after October 1, 2002, will get PVC-free flooring everywhere. Existing PVC-flooring will be replaced when worn-out or when the shop is rebuilt.</t>
  </si>
  <si>
    <t>others</t>
  </si>
  <si>
    <t>85% of all purchased IT products must meet the minimum environmental requirements of our ECOdeclarations for IT products</t>
  </si>
  <si>
    <t>p. 34</t>
  </si>
  <si>
    <t>85% of all purchased IT products must meet the
minimum environmental requirements of our ECOdeclarations for IT products</t>
  </si>
  <si>
    <t>Plastic cards used as staff cards, club cards and gift vouchers in PVC-free material</t>
  </si>
  <si>
    <t>p. 33</t>
  </si>
  <si>
    <t>PET-plastic will be used instead of PVC as staff cards, club cards and gift vouchers</t>
  </si>
  <si>
    <t>SER 2003</t>
  </si>
  <si>
    <t>75% of all purchased IT products must meet the minimum environmental requirements of our ECOdeclarations for IT products</t>
  </si>
  <si>
    <t>p. 34. lowering of older target</t>
  </si>
  <si>
    <t>SER 2004</t>
  </si>
  <si>
    <t>p. 58. "However, we have not received statistics from all sales countries. Thus, we do not have accounts of some locally purchased products, but these purchases only make up a small proportion of all purchases."</t>
  </si>
  <si>
    <t>Starting to include 5% organic cotton in baby and children’s’ garment from Turkey and maybe india</t>
  </si>
  <si>
    <t>organic cotton in baby and children’s’ garments</t>
  </si>
  <si>
    <t>p. 34, 24</t>
  </si>
  <si>
    <t>organic cotton in certain baby and children’s garments from Turkey</t>
  </si>
  <si>
    <t>p. 54</t>
  </si>
  <si>
    <t>use at least 20 tonnes of organic cotton in our products</t>
  </si>
  <si>
    <t>tonnes of organic cotton in all products</t>
  </si>
  <si>
    <t>tonnes of organic cotton</t>
  </si>
  <si>
    <t>&gt;40</t>
  </si>
  <si>
    <t>SER 2005</t>
  </si>
  <si>
    <t>p. 68</t>
  </si>
  <si>
    <t>Test H&amp;M plastic consumer bags made of biodegradable material in at least one sales country</t>
  </si>
  <si>
    <t>SER 2006</t>
  </si>
  <si>
    <t>p. 14</t>
  </si>
  <si>
    <t>mix at least 100 tonnes of organic cotton into parts of our range</t>
  </si>
  <si>
    <t>tonnes of organic cotton in products with mixed cotton (organic and non-organic)</t>
  </si>
  <si>
    <t>p.16</t>
  </si>
  <si>
    <t>SER 2007</t>
  </si>
  <si>
    <t>p. 44</t>
  </si>
  <si>
    <t>launch collections in 100 per cent organic cotton</t>
  </si>
  <si>
    <t>p. 23 "In more recent years there has been growing demand for environmentally responsible and ethically sound products. We are pleased to be able to offer our customers quality and fashionable clothing made from organically grown cotton. This new collection was launched in all H&amp;M markets from March 2007."</t>
  </si>
  <si>
    <t>eco certification</t>
  </si>
  <si>
    <t>To label at least one million baby garments with the Flower, the EU’s eco-label</t>
  </si>
  <si>
    <t>baby garments with the Flower, the EU’s eco-label</t>
  </si>
  <si>
    <t>&gt;900000</t>
  </si>
  <si>
    <t>p. 23. says "completed" on page 44, which isn't true</t>
  </si>
  <si>
    <t>We have set a target to use 50 tonnes of transitional cotton during 2008.</t>
  </si>
  <si>
    <t xml:space="preserve">tonnes of transitional cotton </t>
  </si>
  <si>
    <t>SER 2008</t>
  </si>
  <si>
    <t>p. 32</t>
  </si>
  <si>
    <t>p. 32 "For 2008 we set a target to use 50 tonnes of transitional cotton, which we did not achieve due to limited availability"</t>
  </si>
  <si>
    <t>We have set a target to increase our use of organic cotton by 50 per cent in 2008.</t>
  </si>
  <si>
    <t>p. 31</t>
  </si>
  <si>
    <t>To label at least 1.5 million garments with the Flower, the EU’s eco-label</t>
  </si>
  <si>
    <t>p. 23</t>
  </si>
  <si>
    <t>Flower-labelled garments</t>
  </si>
  <si>
    <t>~1400000</t>
  </si>
  <si>
    <t>p. 41. "In 2008 we sold almost 1,400,000 pieces and met the related target" --&gt; not true</t>
  </si>
  <si>
    <t>reduce the emissions by a total of 10 per cent (on comparable figures) between 2005 and 2009</t>
  </si>
  <si>
    <t>reduction of relative emissions (kg CO2 per 1,000 SEK turnover) between 2004 and 2009</t>
  </si>
  <si>
    <t>p. 54. very early for an emissions target</t>
  </si>
  <si>
    <t>tonnes of CO2 emissions</t>
  </si>
  <si>
    <t>kg CO2/SEK 1,000 annual turnover</t>
  </si>
  <si>
    <t>p. 71</t>
  </si>
  <si>
    <t>SER 2009</t>
  </si>
  <si>
    <t>p. 46</t>
  </si>
  <si>
    <t>For 2009 our transitional cotton target is 250 tonnes.</t>
  </si>
  <si>
    <t>tonnes of transitional cotton used</t>
  </si>
  <si>
    <t>?</t>
  </si>
  <si>
    <t>SER 2010</t>
  </si>
  <si>
    <t>p 87 "As announced in our targets for 2009, we booked 250 tonnes of transitional cotton in China and agreed on related conditions. Unfortunately, as a result of unforeseen issues with our supplier, this agreement could not be fulfilled. Given these issues, we have decided to focus on our goal to use only cotton from more sustainable sources by 2020."</t>
  </si>
  <si>
    <t>To label at least 1.7 million garments with the Flower, the EU’s eco-label</t>
  </si>
  <si>
    <t>garments with the Flower, the EU’s eco-label</t>
  </si>
  <si>
    <t>p. 41</t>
  </si>
  <si>
    <t>p. 56</t>
  </si>
  <si>
    <t>"Der Bericht aus dem Jahr 2019 enthielt keinen relativen Anteil, erwähnt jedoch, dass bis Ende 2019 671 Lieferanten an Energieeffizienzprogrammen teilnahmen, und (auf Seite 6) heißt es, dass wir mit 757 Lieferanten zusammenarbeiteten."</t>
  </si>
  <si>
    <t>30% of factories enrolled in an energy efficiency programme by the end of 2019.</t>
  </si>
  <si>
    <t>factories enrolled in an energy efficiency program</t>
  </si>
  <si>
    <t>SER 2018</t>
  </si>
  <si>
    <t>percent of factories enrolled in an energy efficiency program</t>
  </si>
  <si>
    <t>SER 2019</t>
  </si>
  <si>
    <t>p 32 "By the end of the year, 671 suppliers were enrolled in energy efficiency programmes". p. 6 "1,712 manufacturing factories and final product processing units.*,**"</t>
  </si>
  <si>
    <t>circular economy</t>
  </si>
  <si>
    <t>launch a new recycled PE plastic bag in selected countries in early 2010, followed by remaining countries later in the year</t>
  </si>
  <si>
    <t>p 79, "we switched to recycled material for all of our standard plastic consumer bags. They are now made from 50 percent post-consumer and 50 percent pre-consumer recycled polyethylene (PE).</t>
  </si>
  <si>
    <t>target was dropped because the overall shift to sustainable cotton made the Flower label less relevant: "Das EU-Umweltzeichen „Flower” wurde entwickelt, um zu zertifizieren, dass schädliche Substanzen begrenzt und der Wasserverbrauch in der gesamten Produktionskette, vom Rohbaumwollstoff bis zum Endprodukt, reduziert wurden. Als wir uns ein ehrgeiziges Ziel setzten, nämlich dass bis 2020 unsere gesamte Baumwolle entweder aus biologischem Anbau, recycelt oder auf nachhaltigere Weise bezogen sein sollte, was wir rechtzeitig erreicht haben, verlor die Verwendung des EU-Umweltzeichens „Flower” für uns an Bedeutung. Derzeit besteht der Großteil unseres Sortiments an Babybekleidung aus Bio-Baumwolle, und einige unserer speziellen Kollektionen, wie z. B. Kids Adorables, werden vollständig aus Bio-Baumwolle hergestellt. Eines unserer Ziele als Unternehmen ist es, uns weiterhin für eine bessere Verfügbarkeit von Bio-Baumwolle für die Branche einzusetzen."</t>
  </si>
  <si>
    <t>In 2010, we will begin using organic cotton in all of our Flower baby garments. Some of these garments will be made of 100% organic cotton and others will be made of an organic cotton blend</t>
  </si>
  <si>
    <t>p. 20, no mention on Flower page details</t>
  </si>
  <si>
    <t>Reduce H&amp;M group’s carbon dioxide emissions relative to sales by a minimum of 5% per year compared to the previous year – from 2010 through to 2012.</t>
  </si>
  <si>
    <t>tonnes of CO2-e for every million SEK of turnover</t>
  </si>
  <si>
    <t>p 71</t>
  </si>
  <si>
    <t>annual reduction of relative emissions (kg CO2 per 1,000 SEK turnover)</t>
  </si>
  <si>
    <t>p 42, 47</t>
  </si>
  <si>
    <t>SER 2011</t>
  </si>
  <si>
    <t>p 59</t>
  </si>
  <si>
    <t>target was meant to be achieved without offsets: "Unser Bestreben war und ist es immer, das gesetzte Ziel ohne Ausgleich zu erreichen. Für den Fall, dass wir es nicht erreichen würden, wollten wir jedoch, da wir uns in einer frühen Phase unserer Klimastrategie befanden, die Rechenschaftspflicht erhöhen, indem wir uns selbst dazu verpflichteten, Emissionsausgleiche vorzunehmen, um die Lücke zum Ziel zu schließen. Dies war in den Jahren 2010, 2011 und 2012 der Fall, in denen wir verschiedene Ausgleichsinitiativen durchführen mussten. Weitere Informationen finden Sie nachfolgend: •        Im Jahr 2010 wurden 67.000 Tonnen CO2 durch die UN- und Gold Standard-zertifizierten CO2-Reduktionsprojekte von Tricorona auf Basis erneuerbarer Energieerzeugung kompensiert. Die Kompensationen verteilten sich auf drei spezifische Projekte: Yangjiayao: ein Windpark in der Provinz Ningxia, China; Tongliao: ein Windpark in der Inneren Mongolei, China; und Sri Balaji: ein Biomasseprojekt in Indien, bei dem landwirtschaftliche Abfälle wie Baumwolle und Reisschalen als Brennstoff verwendet werden.   •        Im Jahr 2011 haben wir unsere Emissionen größtenteils durch eine Reduzierung des Luftverkehrs um 32 Prozent sowie durch eine Steigerung der Energieeffizienz in unseren Stores gesenkt, mussten jedoch auch bestimmte Emissionen durch Gold Standard-zertifizierte Projekte zur CO2-Reduzierung kompensieren. •        Im Jahr 2012 haben wir unsere Emissionen hauptsächlich durch eine gesteigerte Energieeffizienz reduziert, aber auch durch Ausgleichsinitiativen.  Es ist erwähnenswert, dass sich unsere Klimastrategie seit diesen Anfängen erheblich weiterentwickelt hat und nun zu einer der ehrgeizigsten Strategien in unserer Branche geworden ist, mit kurz- und langfristigen Zielen, die von der Science-Based Targets Initiative genehmigt wurden. Das bedeutet auch, dass wir unsere Position zum Ausgleich gestärkt haben und den CO2-Ausgleich nicht als Mittel zur Reduzierung unserer Emissionen nutzen. Zur weiteren Einordnung: Unser Ziel ist es, die absoluten Treibhausgasemissionen bis 2030 um 56 Prozent gegenüber 2019 zu reduzieren, sowohl in unseren eigenen Betrieben als auch in unserer Lieferkette, und bis 2040 Net-Zero zu erreichen."</t>
  </si>
  <si>
    <t>SER 2012</t>
  </si>
  <si>
    <t>p 60. only achieved with offsets, which doesn't satify the requirements of the target</t>
  </si>
  <si>
    <t>We have set a target to increase organic cotton use by at least 50% every year until 2013, based on the previous year’s target. The baseline for this staged increase is our 2008 target of 2,000 tonnes. Increasing by 50% each year from this level will mean that we will reach a total of 15,000 tonnes by 2013.</t>
  </si>
  <si>
    <t>annual increase organic cotton use</t>
  </si>
  <si>
    <t>p 34</t>
  </si>
  <si>
    <t>p 87</t>
  </si>
  <si>
    <t>&gt;15000</t>
  </si>
  <si>
    <t>p 87 "While we are pleased to have met this target early, we are realistic about the fact that we cannot sustain growth in the use of organic cotton at the rates witnessed in recent years (77 percent in 2010 and 183 percent in 2009). This is because our own growth has outstripped the growth in supply of organic cotton. Therefore, we have opted to retain our target</t>
  </si>
  <si>
    <t>company says goal was changed after 2016 to account for different opening times: "In unserem Nachhaltigkeitsbericht für 2017 haben wir einen Fortschritt von -9 Prozent in Richtung unseres Ziels für 2020 gemeldet, aber wir haben auch angekündigt, dass wir unsere Ambitionen mit der Entwicklung eines neuen Ziels für 2030 erhöht haben. In eben diesem Bericht hieß es: „Ab dem nächsten Jahr werden wir nur noch über unseren neuen KPI berichten, der auf dem Stromverbrauch pro Quadratmeter und Öffnungszeit basiert (mit 2016 als Basisjahr).“ Der neue KPI wurde entwickelt, um die bestehenden Unterschiede in den Öffnungszeiten zwischen den Stores zu berücksichtigen, damit er die internen Benchmarks für die Energieeffizienz der Stores während des Betriebs (= Öffnungszeiten) besser erfasst. Es ist erwähnenswert, dass sich unsere gesamte Klimastrategie und dieses Ziel seit 2008 und 2016 erheblich weiterentwickelt haben. So haben wir beispielsweise in unserem aktuellen Jahres- und Nachhaltigkeitsbericht eine Reduzierung der Stromintensität in unseren Stores um 32 Prozent gegenüber dem Basisjahr 2016 bekannt gegeben und darüber hinaus unser Reduktionsziel für 2030 von 25 Prozent auf 36 Prozent angehoben. "</t>
  </si>
  <si>
    <t>Reduce energy consumption per square metre of commercial premises by a minimum of 20% by 2020 compared to base year 2007 reference levels</t>
  </si>
  <si>
    <t>energy consumption per square metre of commercial premises compared to 2007</t>
  </si>
  <si>
    <t>p. 35</t>
  </si>
  <si>
    <t>energy intensity</t>
  </si>
  <si>
    <t>kWh/m2</t>
  </si>
  <si>
    <t>SER 2016</t>
  </si>
  <si>
    <t>electricity intensity (kwh/m2)</t>
  </si>
  <si>
    <t>kwh/m2</t>
  </si>
  <si>
    <t>SER 2020</t>
  </si>
  <si>
    <t>achieved? -23% when calculated as best possible, not accounting for shift to "per opening hour". p. 51 no absolute figures, only -17% compared to 2016. 2016 p 59 "Electricity intensity (using less electricity per square meter sales area) has been reduced by 8% compared with 2007 baseline."</t>
  </si>
  <si>
    <t>renewables</t>
  </si>
  <si>
    <t>Work towards exceeding the European Commission’s target of sourcing 20% renewable energy by 2020.</t>
  </si>
  <si>
    <t>renewable energy share</t>
  </si>
  <si>
    <t>% renewable electricity in own operations</t>
  </si>
  <si>
    <t>p 28</t>
  </si>
  <si>
    <t>H&amp;M’s aim is for all cotton in our range to come from sustainable sources by 2020 at the latest. Better Cotton, organic and recycled cotton are types of cotton that we currently define as sustainable.</t>
  </si>
  <si>
    <t>share of cotton that is from sustainable sources</t>
  </si>
  <si>
    <t>p 33</t>
  </si>
  <si>
    <t>p 123</t>
  </si>
  <si>
    <t>Use of 25% of raw materials that meet specific sustainability criteria by 2025</t>
  </si>
  <si>
    <t>raw materials that meet sustainability criteria</t>
  </si>
  <si>
    <t>Sustainability-Report-2019-Armani-Group-EN</t>
  </si>
  <si>
    <t>p 22 (42-43 on page)</t>
  </si>
  <si>
    <t>Use of electricity produced 100% from renewable sources for the Group's Italian offices and stores by 2023</t>
  </si>
  <si>
    <t>renewable energy used in Italian offices and stores</t>
  </si>
  <si>
    <t>100% renewable energy used in Italian offices and stores</t>
  </si>
  <si>
    <t>Sustainability report 2023</t>
  </si>
  <si>
    <t>p. 37, achieved in 2021</t>
  </si>
  <si>
    <t>Commitment to eliminate single-use plastic from B2C packaging by 2025</t>
  </si>
  <si>
    <t>single-use plastic in B2C packaging</t>
  </si>
  <si>
    <t>Reduction of production water usage compared to 2017 baseline (l/kg, l/pc, l/m) 1 — see bar chart below</t>
  </si>
  <si>
    <t>% reduction in production water use (water intensive tier 1 and 2 suppliers) from 2017 baseline</t>
  </si>
  <si>
    <t>p 53</t>
  </si>
  <si>
    <t>Sustainability Disclosure 2022</t>
  </si>
  <si>
    <t>p 20</t>
  </si>
  <si>
    <t>% of water recycled out of total production water consumption</t>
  </si>
  <si>
    <t>p 26. was already 13% in 2019</t>
  </si>
  <si>
    <t>p 26</t>
  </si>
  <si>
    <t>Commitment to eliminate single-use plastic from B2B packaging by 2030</t>
  </si>
  <si>
    <t>single-use plastic in B2B packaging</t>
  </si>
  <si>
    <t>For shoes, we began to implement our production using water-based glues in three factories, which together produced more than 450,000 pairs of shoes. We aim to encourage more suppliers to switch to waterbased alternatives and aim to increase production to 2 million pairs in 2011.</t>
  </si>
  <si>
    <t>2 million</t>
  </si>
  <si>
    <t>VOC-free pairs of shoes</t>
  </si>
  <si>
    <t>p 25. adidas was working on this back in 2003</t>
  </si>
  <si>
    <t>pairs of shoes made with water-based adhesives instead of VOCs</t>
  </si>
  <si>
    <t>2,4 million</t>
  </si>
  <si>
    <t>p 24</t>
  </si>
  <si>
    <t>We also plan to produce 500,000 pairs of leather shoes in 2011 with leather from certified tanneries.</t>
  </si>
  <si>
    <t>pairs of leather shoes with leather from certified tanneries</t>
  </si>
  <si>
    <t>p 25</t>
  </si>
  <si>
    <t>Make baby garments with the Flower label 100% organic cotton by 2012</t>
  </si>
  <si>
    <t>share of organic cotton in baby garments with Flower label</t>
  </si>
  <si>
    <t>no mention anywhere</t>
  </si>
  <si>
    <t>Our goal for 2012 is now to produce 7 million pairs.</t>
  </si>
  <si>
    <t>7 million</t>
  </si>
  <si>
    <t>million pairs of shoes using water-based adhesives instead of VOCs</t>
  </si>
  <si>
    <t>company does not want to communicate total production numbers: "Da wir keine absoluten Zahlen für die Gesamtzahl der produzierten Artikel angeben, vermittelt die Angabe von Prozentsätzen (im Verhältnis zur Gesamtzahl) ein genaueres Bild unseres Fortschritts. Es ist erwähnenswert, dass sich unsere Arbeitsweise mit Leder und Materialien im Allgemeinen erheblich weiterentwickelt hat und wir unsere Ambitionen verstärkt haben. Im Falle von Leder sind wir beispielsweise Mitglied der Leather Working Group, einer Multi-Stakeholder-Gemeinschaft, die sich für den Aufbau einer verantwortungsvolleren Lederindustrie einsetzt."</t>
  </si>
  <si>
    <t>We will revert to the target to produce 500,000 pairs of shoes in 2012.</t>
  </si>
  <si>
    <t>of leather shoes made with certified leather</t>
  </si>
  <si>
    <t>p. 21 no absolute values</t>
  </si>
  <si>
    <t>Supplier Energy Efficiency Programmes: The programmes connect supplier factories to energy service companies to identify potential efficiency gains and provide support for developing action plans to take advantage of these</t>
  </si>
  <si>
    <t>100–120</t>
  </si>
  <si>
    <t>factories covered by Supplier Energy Efficiency Programmes</t>
  </si>
  <si>
    <t>p 62</t>
  </si>
  <si>
    <t>p 64</t>
  </si>
  <si>
    <t>we set the goal to save 100 million litres in 2011</t>
  </si>
  <si>
    <t>million litres of water saved in denim production</t>
  </si>
  <si>
    <t>p 76</t>
  </si>
  <si>
    <t>reduce total emissions (Scope 1-3) compared to 2012</t>
  </si>
  <si>
    <t>p 60. "We want to achieve this reductions without offsetting any emissions"</t>
  </si>
  <si>
    <t>tonnes CO2e (Scope 1-3)</t>
  </si>
  <si>
    <t>p 60</t>
  </si>
  <si>
    <t>SER 2015</t>
  </si>
  <si>
    <t>Scope 1&amp;2 p. 81. Scope 3 p. 84. why only scope 1+2 suddenly?</t>
  </si>
  <si>
    <t>waste handled in our distribution centers to be recycled</t>
  </si>
  <si>
    <t>p 66. was already at 92% in 2012</t>
  </si>
  <si>
    <t>SER 2013</t>
  </si>
  <si>
    <t>"Wir verwenden für unser gesamtes Schuhsortiment zu 100 Prozent wasserbasiertes oder lösungsmittelfreies PU."</t>
  </si>
  <si>
    <t>make all shoes with water based adhesives instead of VOCs</t>
  </si>
  <si>
    <t>shoes with water-based adhesives</t>
  </si>
  <si>
    <t>p 17, left as unclear since company has not verified when this target was reached</t>
  </si>
  <si>
    <t>p 19</t>
  </si>
  <si>
    <t>no mention?</t>
  </si>
  <si>
    <t>p 64, extension on 2013 target</t>
  </si>
  <si>
    <t>SER 2014</t>
  </si>
  <si>
    <t>p 86</t>
  </si>
  <si>
    <t>install water-efficient equipment, such as low-flow taps, in all stores and distribution centers and offices</t>
  </si>
  <si>
    <t>% of facilities in own operations with water-efficient equipment</t>
  </si>
  <si>
    <t>p 70</t>
  </si>
  <si>
    <t>goal to only source virgin wool from RWS-certified farms</t>
  </si>
  <si>
    <t>Responsible Wool Standard (RWS) certified wool in our products</t>
  </si>
  <si>
    <t>SER 2022</t>
  </si>
  <si>
    <t>p 46, postponed again from 2022</t>
  </si>
  <si>
    <t>% of polyester from recycled sources 100% by 2025</t>
  </si>
  <si>
    <t>% of polyester from recycled sources</t>
  </si>
  <si>
    <t>SER 2023</t>
  </si>
  <si>
    <t>all approx. 500 supplier factories to have water management systems in place</t>
  </si>
  <si>
    <t>% OF SUPPLIER FACTORIES IN FULL COMPLIANCE WITH WASTEWATER QUALITY REQUIREMENTS (BSR)</t>
  </si>
  <si>
    <t>p 72</t>
  </si>
  <si>
    <t>p. 102</t>
  </si>
  <si>
    <t>use only certified wool</t>
  </si>
  <si>
    <t>certified wool</t>
  </si>
  <si>
    <t>p 21. 2016: postponed to 2022?</t>
  </si>
  <si>
    <t>&lt;100%?</t>
  </si>
  <si>
    <t>p 40, no mention of goal. 2016: goal postponed to 2022</t>
  </si>
  <si>
    <t>use only certified down (specified 2016 p 33: Responsible Down Standard (RDS))</t>
  </si>
  <si>
    <t>certified down according to RDS</t>
  </si>
  <si>
    <t>p 21</t>
  </si>
  <si>
    <t>SER 106</t>
  </si>
  <si>
    <t>Make 300% more garments with recycled fabric from collected garments</t>
  </si>
  <si>
    <t>million pieces with at least 20% recycled materials</t>
  </si>
  <si>
    <t>p 83</t>
  </si>
  <si>
    <t>p 93</t>
  </si>
  <si>
    <t>reduce absolute transport-related emissions by 30% by 2025, compared to a 2018 baseline.</t>
  </si>
  <si>
    <t>absolute transport-related emissions</t>
  </si>
  <si>
    <t>p 32</t>
  </si>
  <si>
    <t>CO2e emissions in kilotonnes from transport and business travel***,****</t>
  </si>
  <si>
    <t>tonnes CO2e</t>
  </si>
  <si>
    <t>p 52</t>
  </si>
  <si>
    <t>Reduce packaging across the value chain by 25% by 2025 (2018 baseline).</t>
  </si>
  <si>
    <t>All packaging designed to be reusable, recyclable or compostable by 2025.</t>
  </si>
  <si>
    <t>100% of packaging made from recycled or other sustainably sourced material by 2030, with a preference for recycled materials where possible</t>
  </si>
  <si>
    <t>Reuse or recycle 100% of packaging waste from our own sites by 2025.</t>
  </si>
  <si>
    <t>25% post recycled plastic across all packaging used.</t>
  </si>
  <si>
    <t>By 2026, phase out on-site coal from all of our garment suppliers in tier 1, 2 and 32.</t>
  </si>
  <si>
    <t>Sustainability progress report 2024</t>
  </si>
  <si>
    <t>p 9</t>
  </si>
  <si>
    <t>Use recycled polyester equivalent to at least 60 million PET bottles</t>
  </si>
  <si>
    <t>million PET bottles worth of recycled polyester used</t>
  </si>
  <si>
    <t>To become circular* on 80% of the store concepts by 2025. * As defined in the Circular Assessment Tool developed together with the Ellen MacArthur Foundation</t>
  </si>
  <si>
    <t>circular store concepts</t>
  </si>
  <si>
    <t>To use 100% recycled or other sustainably sourced materials* by 2030. * H&amp;M brand.</t>
  </si>
  <si>
    <t>recycled or other sustainably sourced materials in H&amp;M brand.</t>
  </si>
  <si>
    <t>To use 100% Responsible Wool Standard (RWS) certified wool in our products by 2022.</t>
  </si>
  <si>
    <t>p 33, postponed from 2018</t>
  </si>
  <si>
    <t>To increase the volume of collected garments to 25,000 tonnes per year by 2020.</t>
  </si>
  <si>
    <t>tonnes of collected garments annually</t>
  </si>
  <si>
    <t>p 28. was 29005 in 2019, 2020 lower because of the pandemic</t>
  </si>
  <si>
    <t>To become climate positive throughout our value chain by 2040.</t>
  </si>
  <si>
    <t>p 35</t>
  </si>
  <si>
    <t>achieve a 36 percent reduction in electricity intensity in our stores from a 2016 baseline</t>
  </si>
  <si>
    <t>energy use compared to 2016</t>
  </si>
  <si>
    <t>p 9, "This is an updated target, since we reached our 2030 target in 2023 and we have increased the ambition in reducing electricity demand in our stores"</t>
  </si>
  <si>
    <t>20% of factories enrolled in an energy efficiency programme by 2018.</t>
  </si>
  <si>
    <t>p. 56 "If we calculate our progress using the number of factories we had at the time of this goal-setting, we reached this goal. However, because the number of factories has substantially increased since we set the goal, programme enrolment is currently at 18%.</t>
  </si>
  <si>
    <t>30% greenhouse gases reduction per product by 2025 compared to 2017 baseline.</t>
  </si>
  <si>
    <t>greenhouse gases reduction per product</t>
  </si>
  <si>
    <t>100% of factories enrolled in an energy efficiency programme by 2025.</t>
  </si>
  <si>
    <t xml:space="preserve">factories enrolled in an energy efficiency </t>
  </si>
  <si>
    <t>% of electricity from power purchase agreements (PPAs) with new renewable electricity generation</t>
  </si>
  <si>
    <t>Sustainability Disclosure 2023</t>
  </si>
  <si>
    <t>Reduce scope 1 and 2 GHG emissions 40% by 2030 (2017 baseline).</t>
  </si>
  <si>
    <t>reduction scope 1+2 GHG emissions</t>
  </si>
  <si>
    <t>p 30</t>
  </si>
  <si>
    <t>Reduce scope 3 GHG emissions from purchased raw materials, fabric production and garments 59% per product by 2030 (2017 baseline).</t>
  </si>
  <si>
    <t>reduction scope 3 GHG emissions</t>
  </si>
  <si>
    <t>Climate: % absolute reduction (scopes 1 and 2) in CO2e emissions compared with 2019 baseline1,2,3</t>
  </si>
  <si>
    <t>Sustainability Disclosure 2021</t>
  </si>
  <si>
    <t>p 15</t>
  </si>
  <si>
    <t>Source 100% renewable electricity by 2030.</t>
  </si>
  <si>
    <t>renewable electricity</t>
  </si>
  <si>
    <t>% change in absolute total freshwater use (2022 baseline)8</t>
  </si>
  <si>
    <t>Commitment to purchase 50% of recycled plastic in packaging by 2030</t>
  </si>
  <si>
    <t>recycled plastic used in packaging</t>
  </si>
  <si>
    <t>Reduction by 30% of emissions under direct control by 2030</t>
  </si>
  <si>
    <t>Scope1 emissions</t>
  </si>
  <si>
    <t>Sustainability-Report-2020-Armani-Group-EN</t>
  </si>
  <si>
    <t>p 14 (22-23 on page)</t>
  </si>
  <si>
    <t>Scope 1 emissions</t>
  </si>
  <si>
    <t>tCO2eq</t>
  </si>
  <si>
    <t>2022_Sustainability-Report_Armani-Group</t>
  </si>
  <si>
    <t>p 66</t>
  </si>
  <si>
    <t>-30% in Scope 1 GHG emissions</t>
  </si>
  <si>
    <t>Use of electricity produced 100% from renewable sources for the Group's European offices and stores by 2025</t>
  </si>
  <si>
    <t>renewable energy used in European offices and stores</t>
  </si>
  <si>
    <t>Commitment to purchase 100% of FSC/PFSC certified paper: B2C by 2025</t>
  </si>
  <si>
    <t>FSC/PFSC certified paper in B2C uses</t>
  </si>
  <si>
    <t>Commitment to purchase 100% of FSC/PFSC certified paper: B2B by 2030</t>
  </si>
  <si>
    <t>FSC/PFSC certified paper in B2B uses</t>
  </si>
  <si>
    <t>Commitment to purchase 50% recycled plastic for packaging: B2C by 2025</t>
  </si>
  <si>
    <t>recycled plastic used in B2C packaging</t>
  </si>
  <si>
    <t>Commitment to purchase 50% recycled plastic for packaging: B2B by 2030</t>
  </si>
  <si>
    <t>recycled plastic used in B2B packaging</t>
  </si>
  <si>
    <t>-50% in Scope 1 and 2 greenhouse gas emissions by 2030 compared to 2019</t>
  </si>
  <si>
    <t>emissions (Scope 1 and 2)</t>
  </si>
  <si>
    <t>Sustainability-Report-2021-Armani-Group-EN-1</t>
  </si>
  <si>
    <t>p 31 (59 on page)</t>
  </si>
  <si>
    <t>Scope 1 and 2 emissions</t>
  </si>
  <si>
    <t>35156 (Location-based Scope 2) - 29566 (Market-based Scope 2)</t>
  </si>
  <si>
    <t xml:space="preserve">p 47 (90 on page); first value uses Location-based Scope 2, second value uses Market-based Scope 2 </t>
  </si>
  <si>
    <t>-50% in Scope 1 and 2 GHG emissions</t>
  </si>
  <si>
    <t>-57,% in Scope 1 and 2 (Market-based emissions)</t>
  </si>
  <si>
    <t>2023_Sustainability-Report_Armani-Group</t>
  </si>
  <si>
    <t>p 38; Target was achieved considering Scope 2 Market-based emissions; Scope 2 Location-based emissions were not reported</t>
  </si>
  <si>
    <t>-42% in Scope 3 emissions, by 2029 compared to 2019</t>
  </si>
  <si>
    <t>emissions (Scope 3)</t>
  </si>
  <si>
    <t>Scope 3 emissions</t>
  </si>
  <si>
    <t>-42% in Scope 3 GHG emissions</t>
  </si>
  <si>
    <t>p 39</t>
  </si>
  <si>
    <t>traceability</t>
  </si>
  <si>
    <t>100% traceability of key raw materials by 2025</t>
  </si>
  <si>
    <t>traceable raw materials</t>
  </si>
  <si>
    <t>100% electricity from renewable sources for all the Group’s sites and stores by 2030</t>
  </si>
  <si>
    <t>renewable energy in all sites and stores</t>
  </si>
  <si>
    <t>p 28 (29 on page)</t>
  </si>
  <si>
    <t>By 2030, decrease our own carbon footprint (scopes 1 and 2) by 50%, which is equivalent to a 66% reduction per unit sold. (baseline 2018)</t>
  </si>
  <si>
    <t>% reduction per unit sold</t>
  </si>
  <si>
    <t>Chanel Mission 1.5°C</t>
  </si>
  <si>
    <t>p4</t>
  </si>
  <si>
    <t>%</t>
  </si>
  <si>
    <t>p.8</t>
  </si>
  <si>
    <t>By 2030, aim to decrease emissions from our value chain (scope 3) by 40% per unit sold. (baseline 2018)</t>
  </si>
  <si>
    <t>p.10</t>
  </si>
  <si>
    <t>By 2025, shift to 100% renewable electricity in our own operations, with an interim goal of 97% in 2021</t>
  </si>
  <si>
    <t>By 2021, reach the interim goal of 97% renewable electricity</t>
  </si>
  <si>
    <t>% renewable energy</t>
  </si>
  <si>
    <t>Chanel Mission 1.5°C Performance Update 2021</t>
  </si>
  <si>
    <t>p 6</t>
  </si>
  <si>
    <r>
      <rPr>
        <rFont val="Arial"/>
        <color theme="1"/>
      </rPr>
      <t xml:space="preserve">By 2030, -50% emissions Scope 1 &amp; 2 </t>
    </r>
    <r>
      <rPr>
        <rFont val="Arial"/>
        <b/>
        <color theme="1"/>
      </rPr>
      <t>baseline 2021</t>
    </r>
  </si>
  <si>
    <t>Sustainability performance extract 2023</t>
  </si>
  <si>
    <t>p4. tightened: baseline changed in 2023 ; previous goal set in 2020 had a baseline in 2018</t>
  </si>
  <si>
    <t>p.4</t>
  </si>
  <si>
    <t>By 2030, -42% emissions Scope 3 (absolute emissions) (baseline 2021)</t>
  </si>
  <si>
    <t>By 2040, -90% absolute emissions Scope 1 &amp; 2 baseline 2021</t>
  </si>
  <si>
    <t>By 2040, -90% emissions Scope 3 (absolute emissions) (baseline 2021)</t>
  </si>
  <si>
    <t>By 2030,  reduce absolute scope 3 GHG forest, land and agriculture emissions by 30.3% (baseline 2021)</t>
  </si>
  <si>
    <t>30.3%</t>
  </si>
  <si>
    <t>By 2040,  reduce absolute scope 3 GHG forest, land and agriculture emissions by 72% (baseline 2021)</t>
  </si>
  <si>
    <t>100% renewable energy across own operations</t>
  </si>
  <si>
    <t>sustainability report 2020</t>
  </si>
  <si>
    <t>p.38</t>
  </si>
  <si>
    <t>25% of key raw materials to have lower climate impact</t>
  </si>
  <si>
    <t>see p.83</t>
  </si>
  <si>
    <t>SUSTAINABILITY REPORT 2024</t>
  </si>
  <si>
    <t>p.83</t>
  </si>
  <si>
    <t>All leased vehicles with plug-in hybrid (PHEV) or full electric (BEV) vehicles</t>
  </si>
  <si>
    <t>environmental protection</t>
  </si>
  <si>
    <t>Zegna Forest: The project will include a total of 140 hectares of owned woodland, to safeguard the environment in Oasi Zegna and for the benefit of the woods of Oasi Zegna. Supported by a scientific committee, new species have been and will continue to be gradually introduced in order to boost the forest’s resilience, ecological functions and biodiversity. Young magnolias have been planted along with Ginkgo biloba, Parrotia, beech, hydrangeas and rhododendrons, and new sections of woodland have been replanted along the Panoramica Zegna with deciduous trees and silver firs. The Zegna Forest project continues in 2021 with the replanting of a further 16 hectares.</t>
  </si>
  <si>
    <t>hectares of woodland protected</t>
  </si>
  <si>
    <t>Since 2020, about 93.45 hectares of woodland have been enhanced and almost 40,000 new trees and shrubs have been planted. In 2024, the Zegna Forest project continued with the restoration of an additional 15.7 hectares and the planting of over 6,000 new trees.</t>
  </si>
  <si>
    <t>p.115</t>
  </si>
  <si>
    <t>Implementation of Science-Based Targets for Climate to achieve net-zero by 2050.</t>
  </si>
  <si>
    <t>Climate change commitment with Science-Based Targets initiative (SBTi) submitted by 2022</t>
  </si>
  <si>
    <t xml:space="preserve">submitted </t>
  </si>
  <si>
    <t>SUSTAINABILITY REPORT 2022</t>
  </si>
  <si>
    <t>p.17</t>
  </si>
  <si>
    <t>Elimination of problematic and unnecessary plastics in B2C packaging by 2025</t>
  </si>
  <si>
    <t>Elimination of problematic and unnecessary plastics in B2B packaging by 2030</t>
  </si>
  <si>
    <t>at least half of all plastic packaging is 100% recycled content by 2025 for B2C.</t>
  </si>
  <si>
    <t>p.38, achieved early</t>
  </si>
  <si>
    <t>At least 50% content of plastics from recycling in business to consumer packaging</t>
  </si>
  <si>
    <t>Zegna Sustainability Report 2023</t>
  </si>
  <si>
    <t>says "achieved" on page 24, but then no details on this in the chapter on plastic packaging</t>
  </si>
  <si>
    <t>at least half of all plastic packaging is 100% recycled content by 2030 for B2B.</t>
  </si>
  <si>
    <t>At least 50% content of plastics from recycling in business to business packaging</t>
  </si>
  <si>
    <t>Reaching 50% of sourced top raw materials from traceable origin and from lower-impact sources by 2026</t>
  </si>
  <si>
    <t>SUSTAINABILITY REPORT 2021</t>
  </si>
  <si>
    <t>p.44</t>
  </si>
  <si>
    <t>overall incidence for 2021</t>
  </si>
  <si>
    <t>p.44 Wool &amp; Cashmere: 25% of raw materials come from various certifications, the main one being Authentico scheme by Schneider Group; Cotton: about 5%, GOTS and GRS certification; Man-made Cellulosics: about 42%, OEKO-TEX Standard 100 (Bemberg™ - CUPRO) and FSC certified; Polyester: about 24%, GRS certification.</t>
  </si>
  <si>
    <t xml:space="preserve">33% of traceable &amp; lower-impact top priority raw materials (35% like-for-like, excluding TOM FORD FASHION). </t>
  </si>
  <si>
    <t>p.23</t>
  </si>
  <si>
    <t>Formalize its own animal welfare policy by 2022 and embed it into the lower-impact raw material certifications</t>
  </si>
  <si>
    <t>Group animal welfare policy formalized by 2022 and embedded in lower-impact raw material certifications</t>
  </si>
  <si>
    <t>p.73: "In the first half of 2023, the Group adopted an Animal Welfare Policy"</t>
  </si>
  <si>
    <t>95% of products enabled with a product traceability system</t>
  </si>
  <si>
    <t>share of raw materials sourced from traceable origin and from lower-impact sources</t>
  </si>
  <si>
    <t>p.46</t>
  </si>
  <si>
    <t>In progress. The Group has been experimenting with digital product tracking solutions to assess technology readiness</t>
  </si>
  <si>
    <t>ZDHC Foundational compliance level (MRSL, Wastewaters) for all group production sites, by 2023</t>
  </si>
  <si>
    <t>p.45</t>
  </si>
  <si>
    <t>All production sites achieved the Foundational compliance level in 2023</t>
  </si>
  <si>
    <t>p.24</t>
  </si>
  <si>
    <t>Top executives’ long-term incentives linked to ESG targets by 2022</t>
  </si>
  <si>
    <t>p.19</t>
  </si>
  <si>
    <t>Achieved</t>
  </si>
  <si>
    <t>p.18</t>
  </si>
  <si>
    <t>reduce absolute scope 1 and 2 GHG emissions 50.4% by 2032 from a 2021 base year</t>
  </si>
  <si>
    <t>-50.4%</t>
  </si>
  <si>
    <t>p.39</t>
  </si>
  <si>
    <t>Emissions scope 1 &amp; scope 2</t>
  </si>
  <si>
    <t xml:space="preserve">Targets were resubmitted to SBTi in 2024, baseline switched from FY21 to FY22 </t>
  </si>
  <si>
    <t>p.91</t>
  </si>
  <si>
    <t>reduce absolute scope 3 GHG emissions from purchased goods and services, fuel and energy-related activities, employee commuting, and investments 50.4% by 2032 from a 2021 base year.</t>
  </si>
  <si>
    <t xml:space="preserve">Emissions scope 3 </t>
  </si>
  <si>
    <t>2021 scope 3 baseline values updated annually</t>
  </si>
  <si>
    <t>p.43, differs from the value calculated in 2019 (191408 tons CO2e), (report 2023, p.114, 435138 tons CO2e value of 2021 baseline)</t>
  </si>
  <si>
    <t>Net-zero GHG emissions across the value chain by 2050 from a 2021 base year.</t>
  </si>
  <si>
    <t>reduce absolute scope 1 and 2 GHG emissions 90% by 2050 from a 2021 base year</t>
  </si>
  <si>
    <t>reduce absolute scope 3 GHG emissions 90% by 2050 from a 2021 base year</t>
  </si>
  <si>
    <t>100% electricity from renewable sources for the Group by 2027, (scope 2)</t>
  </si>
  <si>
    <t>p.25</t>
  </si>
  <si>
    <t>100% electricity from renewable sources in Europe &amp; US by 2024, (scope 2)</t>
  </si>
  <si>
    <t>In progress. Achieved 100% of electricity from renewable sources in Europe and the USA; in progress at Group level (70%).</t>
  </si>
  <si>
    <t>% renewable electricity in Europe and US</t>
  </si>
  <si>
    <t>100% fully electric or plug-in hybrid corporate vehicles by 2025 (scope 1)</t>
  </si>
  <si>
    <t>&gt;90% Made in Italy supply of yarns &amp; fabrics by 2025</t>
  </si>
  <si>
    <t>Italian suppliers represent 88% of total spending</t>
  </si>
  <si>
    <t>p.75</t>
  </si>
  <si>
    <t>reduce absolute scope 3 FLAG GHG emissions 36.4%, by 2032 from a 2022 base year</t>
  </si>
  <si>
    <t>-36.4%</t>
  </si>
  <si>
    <t>commits to no deforestation across its primary-linked commodities, with a target date of December 31, 2025</t>
  </si>
  <si>
    <t>100% of the cattle and calf leather we use is sourced from Leather Working Group (LWG) Silver or Gold certified tanneries</t>
  </si>
  <si>
    <t>Reuse and recycle 7% of water used in general services at Lanificio Ermenegildo Zegna starting from 2027.</t>
  </si>
  <si>
    <t>Reuse and recycle 3% of total water withdrawn by Lanificio Ermenegildo Zegna, corresponding to around 10,000 cubic meters, starting from 2027</t>
  </si>
  <si>
    <t>By 2030, a 50% reduction in the carbon footprint per square meter of new or renovated real estate.</t>
  </si>
  <si>
    <t>2020 Universal registration document</t>
  </si>
  <si>
    <t>p150</t>
  </si>
  <si>
    <t>By 2030, the implementation of 100% renewable energy in directs operations (unless technically impossible)</t>
  </si>
  <si>
    <t>p59</t>
  </si>
  <si>
    <t>By 2025, implement a policy of 100% renewable electricity within its own operations</t>
  </si>
  <si>
    <t>By 2025, convergence towards 25% of key raw materials with the leasts impact on the climate</t>
  </si>
  <si>
    <t>p142</t>
  </si>
  <si>
    <t>- 50.4% reduction in absolute GHG emissions for scopes 1 and 2 (by 2030 compared to the reference year 2018)</t>
  </si>
  <si>
    <t>50.4%</t>
  </si>
  <si>
    <t>p16</t>
  </si>
  <si>
    <t>p.142</t>
  </si>
  <si>
    <t>-63.7%</t>
  </si>
  <si>
    <t>emissions reduction in absolute value since 2018 (market-based)</t>
  </si>
  <si>
    <t>Universal registration document 2024</t>
  </si>
  <si>
    <t>p28</t>
  </si>
  <si>
    <t>- 58.1% reduction in GHG emissions in relative value (per million euros of gross margin) for Scope 3 (by 2030 compared to the 2018 baseline year)</t>
  </si>
  <si>
    <t>58.1%</t>
  </si>
  <si>
    <t xml:space="preserve">Reduce the intensity of its industrial water use by 5% per year </t>
  </si>
  <si>
    <t>5% per year</t>
  </si>
  <si>
    <t>p125</t>
  </si>
  <si>
    <t>Hermès has set itself the objective of not destroying new products intended for sale, particularly for clothing, by 2022 (under the AGEC law in France).</t>
  </si>
  <si>
    <t>new products destroyed</t>
  </si>
  <si>
    <t>p114</t>
  </si>
  <si>
    <t>0% destruction in France from 1 January 2023 (Agec law scope), target extended globally between 2025 and 2030</t>
  </si>
  <si>
    <t>Universal registration document 2022</t>
  </si>
  <si>
    <t>By 2030, 100% of single-use plastics eliminated</t>
  </si>
  <si>
    <t>By 2023 equip all stores with 100%-LED lighting, unless this is technically impossible</t>
  </si>
  <si>
    <t>p137</t>
  </si>
  <si>
    <t>100% if stores with 100% of LED lighting</t>
  </si>
  <si>
    <t>unknown</t>
  </si>
  <si>
    <t>% of stores equiped with LED lighting</t>
  </si>
  <si>
    <t>Universal registration document 2023</t>
  </si>
  <si>
    <t>p165</t>
  </si>
  <si>
    <t>Objective of reaching 100% of leather suppliers undergo assessment using the LWG audit protocol by 2024.</t>
  </si>
  <si>
    <t>2021 Universal registration document</t>
  </si>
  <si>
    <t>p121</t>
  </si>
  <si>
    <t>100% of leather suppliers undergo assessment</t>
  </si>
  <si>
    <t>% of leather suppliers LWG certified</t>
  </si>
  <si>
    <t>p131</t>
  </si>
  <si>
    <t>Zero net CO2 emissions, reduction in gross emissions vs. 2018 and offset of 100% of residual emissions</t>
  </si>
  <si>
    <t>p129</t>
  </si>
  <si>
    <t>p.129</t>
  </si>
  <si>
    <t>Achievement of the objectives set by the Animal Welfare policy for 100% of the Group’s animal sectors by 2025</t>
  </si>
  <si>
    <t>2023 Universal registration document</t>
  </si>
  <si>
    <t>p64</t>
  </si>
  <si>
    <t>% of purchases related to animal supply chains covered by the Group’s Animal Welfare policy</t>
  </si>
  <si>
    <t>p207</t>
  </si>
  <si>
    <t>By 2024, 100% of suppliers aligned with the CSR brief and the supply chain brief</t>
  </si>
  <si>
    <t>p109</t>
  </si>
  <si>
    <t>100% of suppliers aligned with the CSR brief and the supply chain brief</t>
  </si>
  <si>
    <t xml:space="preserve">% of the suppliers assessed with the CSR brief. Interestingly enough, the 2024 Universal registration document doesn't reference these numbers again. </t>
  </si>
  <si>
    <t>80% of suppliers self‑assessed via the CSR questionnaire in 2024</t>
  </si>
  <si>
    <t>2022 Universal registration document</t>
  </si>
  <si>
    <t>p61</t>
  </si>
  <si>
    <t xml:space="preserve">% of the suppliers assessed with the CSR self‑assessment questionnaire. Interestingly enough, the 2024 Universal registration document doesn't reference these numbers again. </t>
  </si>
  <si>
    <t>p64, "1,115 (of which 791 assessed)"</t>
  </si>
  <si>
    <t>Reduce energy consumption in France (industrial sites, tertiary buildings and exclusive stores) by 10% in 2023 compared to 2019.</t>
  </si>
  <si>
    <t>p153</t>
  </si>
  <si>
    <t>p.154</t>
  </si>
  <si>
    <t>Energy consumption reduction of -10% for sites in France</t>
  </si>
  <si>
    <t>6,2% (compared with 2022)</t>
  </si>
  <si>
    <t>% of energy consumption reduction in French sites. In the document, it says that it's compared with 2022, but baseline is 2019</t>
  </si>
  <si>
    <t>Achieve offsetting of 50% of our residual emissions between 2030 and 2040, and 100% by 2050</t>
  </si>
  <si>
    <t>Achieve offsetting of 100% of our residual emissions by 2050</t>
  </si>
  <si>
    <t>Reduce dormant leather inventories by 75% between 2021 and 2024</t>
  </si>
  <si>
    <t>Reduce dormant leather inventories by 75%</t>
  </si>
  <si>
    <t>% of dormant leather inventories reduction</t>
  </si>
  <si>
    <t>p64, 2024 no mention</t>
  </si>
  <si>
    <t>By 2023, make 50% of covers in GOTS‑certified cotton or using recycled silk</t>
  </si>
  <si>
    <t>make 50% of covers in GOTS‑certified cotton or using recycled silk</t>
  </si>
  <si>
    <t>% of covers made with GOTS-certified cotton or recycled silk</t>
  </si>
  <si>
    <t>p135</t>
  </si>
  <si>
    <t>Map all of our supply chains and cover 100% of the Group’s activity by the end of 2023</t>
  </si>
  <si>
    <t>Map all of our supply chains and cover 100% of the Group’s activity</t>
  </si>
  <si>
    <t xml:space="preserve">% of material suppliers analysed </t>
  </si>
  <si>
    <t>By 2025, make 100% of covers in GOTS‑certified cotton or using recycled silk</t>
  </si>
  <si>
    <t>100% of unsold items recycled or donated (globally)</t>
  </si>
  <si>
    <t>p113</t>
  </si>
  <si>
    <t xml:space="preserve"> Certification and/or award of label status for 54 supply chains</t>
  </si>
  <si>
    <t>unit</t>
  </si>
  <si>
    <t>Objective to participate in at least three biodiversity projects with partners per year until the end of 2026.</t>
  </si>
  <si>
    <t>2024 Universal registration document</t>
  </si>
  <si>
    <t>Conduct at least two studies per year with academic partners on biodiversity issues until the end of 2026</t>
  </si>
  <si>
    <t>By 2030, Hermès aims to broaden the scope of its actions to include other “secondary” raw materials in its portfolio, such as certain perfume ingredients or particle boards, and to explore investment opportunities beyond its supply chains to accelerate sector transitions and conservation and restoration projects at landscape and/or jurisdiction scale.</t>
  </si>
  <si>
    <t>/</t>
  </si>
  <si>
    <t>Zero discharge of hazardous chemicals by 2020</t>
  </si>
  <si>
    <t>Annual report 2013</t>
  </si>
  <si>
    <t>Zero discharge of hazardous chemicals</t>
  </si>
  <si>
    <r>
      <rPr/>
      <t xml:space="preserve">Water Use, </t>
    </r>
    <r>
      <rPr>
        <color rgb="FF1155CC"/>
        <u/>
      </rPr>
      <t>2021 Website</t>
    </r>
  </si>
  <si>
    <t>company explained via phone call that “logistics-related emissions” originally referred exclusively to Inditex’s own distribution centers. they added that measurement and reporting methodologies changed later—adapting to European standards (Scopes 1, 2, etc.)—and that Inditex considers the initial logistics emissions target fulfilled, despite those methodological changes, which they described as aligned with “more ambitious goals.”</t>
  </si>
  <si>
    <t>20% reduction of logistic related emissions</t>
  </si>
  <si>
    <t>logistic related emissions</t>
  </si>
  <si>
    <t>Annual report 2012 (web)</t>
  </si>
  <si>
    <t>76% reduction in scope 1 and 2 achieved since 2018</t>
  </si>
  <si>
    <t>emisisons</t>
  </si>
  <si>
    <t>There is no specific reference to ‘logistics emissions’, but rather to scope 1 or direct emissions vs. scope 2 or indirect emissions. In this case, the 2020 report indicates that a 76% reduction in scope 1 and 2 emissions has been achieved since 2018.</t>
  </si>
  <si>
    <t>100% of eco-efficient shops by 2020</t>
  </si>
  <si>
    <t>shops</t>
  </si>
  <si>
    <t>100% of eco-efficient shops</t>
  </si>
  <si>
    <t>Annual  Report 2020</t>
  </si>
  <si>
    <t>company explained via phone call: Join Life was a label for more sustainable items sold in stores. In 2022, the label was present on 50% of items. After surpassing that threshold, Inditex decided to phase it out, as the long-term goal was for all products to meet those standards. Therefore, the indicator stopped being tracked from 2022 onward. Green to Wear is not a garment label, but rather an internal standard that sets environmental requirements for installations, particularly in relation to water, waste, and energy management.</t>
  </si>
  <si>
    <t>All garments will carry the "green to wear" label</t>
  </si>
  <si>
    <t>garments</t>
  </si>
  <si>
    <t>Annual report 2014</t>
  </si>
  <si>
    <t>"In 2020 all garments will include the "Green to Wear" label, that means that for 2020 all shops will be eco-efficient"</t>
  </si>
  <si>
    <t>Investment in textile recycling technology will reach 3.5 million dollars</t>
  </si>
  <si>
    <t>M$</t>
  </si>
  <si>
    <t>Annual report 2017</t>
  </si>
  <si>
    <t>We have exceeded the commitment set for 2020 with the Global Fashion Agenda
to invest $3.5 million in this area.</t>
  </si>
  <si>
    <t>&gt; 3.5</t>
  </si>
  <si>
    <t>Annual Report 2019</t>
  </si>
  <si>
    <t>p.176</t>
  </si>
  <si>
    <t>80% of renewable energy in all instalations in 2025</t>
  </si>
  <si>
    <t>energy consumption</t>
  </si>
  <si>
    <t>80% of the energy consumption in our facilities (headquarters, logistics centres and our own shops) comes from renewable sources.</t>
  </si>
  <si>
    <t>p.52</t>
  </si>
  <si>
    <t>reduce carbon, water and waste footprint of our suppliers: 10% carbon, waste and water savings, signed up to European Clothing Action Plan</t>
  </si>
  <si>
    <t>"carbon, waste and water savings"</t>
  </si>
  <si>
    <t>Annual Report 2017</t>
  </si>
  <si>
    <t>water -12%, carbon -0,9%, waste +0,1%</t>
  </si>
  <si>
    <t>&lt;10%</t>
  </si>
  <si>
    <t>products sourced from factorys in FIP (Factory Improvement Program) of private labels</t>
  </si>
  <si>
    <t>Annual Report 2018</t>
  </si>
  <si>
    <t>p. 22 "We sourced 25% of private label business volume from factories that take part in our Factory Improvement Program"</t>
  </si>
  <si>
    <t xml:space="preserve">This target was already achieved in 2018, when, as stated in our Annual Report 2018 (see page 31), we switched to renewable energy, which led to a 16% reduction in CO2 emissions per order. In 2019, we continued to make more progress against this target and reduced our CO2 emissions per order by 29% (see Annual Report 2019, page 30) </t>
  </si>
  <si>
    <t>reduce CO2 emissions per order</t>
  </si>
  <si>
    <t>CO2 emissions per order</t>
  </si>
  <si>
    <t>p 33, already achieved from 2018 onwards</t>
  </si>
  <si>
    <t>Scope 1-3 emissions</t>
  </si>
  <si>
    <t>kg CO2 emissions per order</t>
  </si>
  <si>
    <t>p 34, total emissions: 209650 tons</t>
  </si>
  <si>
    <t>kg CO2e per order</t>
  </si>
  <si>
    <t>Sustainability Progress Report 2019</t>
  </si>
  <si>
    <t>10% goal already achieved in 2018</t>
  </si>
  <si>
    <t>By the end of 2019, 91% of our packaging materials stemmed from renewable sources (see Annual Report 2019, page 31). Since then, our sustainable sourcing strategy has evolved, focused on a move toward more specific and credible descriptions of sustainable practices. In 2021, we committed to Canopy4good and set the target to source 100.0% recycled or FSC-certified paper packaging on an annual basis as well as a commitment to Science-Based Targets (SBTs) setting with our packaging suppliers. Life Cycle Assessment (LCAs) are part of contractual requirements with our packaging suppliers (see Sustainability Progress Report 2021, page 21). In 2024, 89% of our packaging materials came from sustainable sources or were made from recycled content, and 95.9% was recyclable (see Annual Report 2024, page 227).  In 2025, we continue to make significant progress toward this target and are working to meet it by the end of the year.</t>
  </si>
  <si>
    <t>all packaging procured by zalando sustainably sourced</t>
  </si>
  <si>
    <t>share of packaging sustainably sourced</t>
  </si>
  <si>
    <t>packaging from renewable sources</t>
  </si>
  <si>
    <t>Sustainability Progress Report 2020</t>
  </si>
  <si>
    <t>p. 31 2020 p 24 not explicitly mentioned?. 2024 annual report, p. 227: "By 2024, 89.0% of our packaging came from sustainable sources or from recycled content"</t>
  </si>
  <si>
    <t>By 2023 we aim to generate 25% of our GMV (Gross Merchandise Volume) with more sustainable products.</t>
  </si>
  <si>
    <t>of Gross Merchandise Volume with more sustainable products</t>
  </si>
  <si>
    <t>p6, upgraded from 20% in 2019</t>
  </si>
  <si>
    <t>of Gross Merchandise Volume generated
with more sustainable products</t>
  </si>
  <si>
    <t>Sustainability Progress Report 2023</t>
  </si>
  <si>
    <t>p A2, down from 21% two years prior</t>
  </si>
  <si>
    <t>grow the selection of sustainable fashion in the online store</t>
  </si>
  <si>
    <t>p 30, In 2020, we more than tripled our assortment to more
than 80,000 more sustainable products, compared
with 25,000 a year earlier</t>
  </si>
  <si>
    <t>We are committed to sourcing 50% (or an estimated 1,000 MT) of our cotton asBetter Cotton by  end of 2020</t>
  </si>
  <si>
    <t>share of Better Cotton in all cotton</t>
  </si>
  <si>
    <t>p 29. Already at 41%</t>
  </si>
  <si>
    <t>share of cotton that is Better Cotton</t>
  </si>
  <si>
    <t>p 32, at least for "Private Label"?</t>
  </si>
  <si>
    <t>80% reduction in emissions from our own operations compared to 2017.</t>
  </si>
  <si>
    <t>reduction in emissions from our own operations</t>
  </si>
  <si>
    <t>Scope 1&amp;2</t>
  </si>
  <si>
    <t>tons of CO2</t>
  </si>
  <si>
    <t>p 13, target 2025: 5228 t</t>
  </si>
  <si>
    <t>design our packaging to minimize waste and keep materials in use, specifically eliminating singleuse plastics</t>
  </si>
  <si>
    <t>eliminate single-use plastics</t>
  </si>
  <si>
    <t>g single-use plastic packaging per item shipped</t>
  </si>
  <si>
    <t>p A2</t>
  </si>
  <si>
    <t>Zalando commits to increase annual sourcing of renewable electricity from 34% in 2017 to 100% by 2025.</t>
  </si>
  <si>
    <t>share of renewable electricity</t>
  </si>
  <si>
    <t>p 13</t>
  </si>
  <si>
    <t>Zalando commits to reduce Scope 3 GHG emissions from private label products by 40% per million euros gross profit by 2025 from a 2018 base year</t>
  </si>
  <si>
    <t>reduction in Scope 3 GHG emissions per million euros gross profit</t>
  </si>
  <si>
    <t>Zalando also commits that 90% of its suppliers (by emissions covering purchased goods and services sold on its platform, packaging and last-mile-delivery partners) will have set science-based targets by 2025.</t>
  </si>
  <si>
    <t>of suppliers with SBTs</t>
  </si>
  <si>
    <t>By the end of 2021, our aim is for 70% of our private label products to fulfill our sustainability criteria and carry the sustainability flag, compared with 50% at present</t>
  </si>
  <si>
    <t>of our private label products to fulfill our sustainability criteria and carry the sustainability flag</t>
  </si>
  <si>
    <t>share of private label GMV generated with more sustainable products</t>
  </si>
  <si>
    <t>Sustainability Progress Report 2021</t>
  </si>
  <si>
    <t>p. 27"in 2021, we
generated 65% of our private label GMV with more sustainable
products. In 2020, we reported that 50% of our private label products
fulfilled our sustainability criteria. The correct definition is
that we generated 50% of our private label GMV with more
sustainable products"</t>
  </si>
  <si>
    <t>By 2023, we apply the principles of circularity and extend the life of at least 50 million fashion products</t>
  </si>
  <si>
    <t>million fashion products' lives extended</t>
  </si>
  <si>
    <t>For private labels: 100% more sustainable man-made cellulosics by
2023 (includes LENZING™ TENCEL™, LENZING™
viscose, generic lyocell, and responsible modal
and viscose).</t>
  </si>
  <si>
    <t>more sustainable man-made cellulosics</t>
  </si>
  <si>
    <t>p 27</t>
  </si>
  <si>
    <t>"responsibly sourced" man-made cellulosics</t>
  </si>
  <si>
    <t>For private labels: 100% more sustainable cotton by 2023 (includes organic cotton, recycled cotton, and cotton sourced through the Better Cotton Initiative).</t>
  </si>
  <si>
    <t>more sustainable cotton</t>
  </si>
  <si>
    <t>percent more sustainable cotton</t>
  </si>
  <si>
    <t>p 30, 6,6% transitional cotton and 1,2 not accounted for, assumed conventional cotton</t>
  </si>
  <si>
    <t>For private labels: 100% more sustainable leather by 2023 (including from Leather Working Group-rated tanneries, chromefree leather, and innovative leather alternatives).</t>
  </si>
  <si>
    <t>more sustainable leather</t>
  </si>
  <si>
    <t>For private labels: 100% responsible animal fibers by 2023 (includes organic and recycled standards, as well as Responsible Wool Standard, Responsible Alpaca Standard, Responsible Mohair Standard, Responsible Down Standard).</t>
  </si>
  <si>
    <t>responsible animal fibers</t>
  </si>
  <si>
    <t>p 30, 10% recycled, 4% responsible</t>
  </si>
  <si>
    <t>For private labels: 50% recycled polyester by 2023.</t>
  </si>
  <si>
    <t>recycled polyester</t>
  </si>
  <si>
    <t>&lt;50%</t>
  </si>
  <si>
    <t>p 30, 48.4% recycled synthetics in garments, 43.4% recycled polyester in shoes</t>
  </si>
  <si>
    <t xml:space="preserve">In 2024, we completed the transition to polybags made of 100% post-consumer recycled material (PCR). </t>
  </si>
  <si>
    <t>We initiated a transition to polybags with 100% postconsumer recycled content (PCR) achieving 52% of our procured volume. We aim to complete this transition in 2024.</t>
  </si>
  <si>
    <t>PCR in polybags</t>
  </si>
  <si>
    <t>p21. Left unclear despite company response since no public source provided</t>
  </si>
  <si>
    <t>CSRD Digest 2024 / Annual Report 2024</t>
  </si>
  <si>
    <t>no mention</t>
  </si>
  <si>
    <t>Status: Significant progress made, target changed with new sustainability strategy and Science Based Targets. As of the end of 2023, Zalando had made significant progress toward this goal in its private labels (PL): 84% of its GMV from private label products had at least one sustainability-related attribute (see Sustainability Progress Report 2023, page 29). With the introduction of a new sustainability strategy,  we updated this specific target in line with our ambition to achieve higher sustainability standards in private labels – this remains a key focus. We have set the ambition of achieving net-zero emissions for our private labels by 2040. One of the ways we want to achieve this is through material substitution, as we have also committed to fully phase out virgin polyester and conventional cotton for our private labels by 2033.</t>
  </si>
  <si>
    <t>by the end of 2024, all of our PL products incorporate at least one sustainability-related attribute.</t>
  </si>
  <si>
    <t>private labels products with at least one sustainability attribute</t>
  </si>
  <si>
    <t>p 29</t>
  </si>
  <si>
    <t>no mention, company says target was amended</t>
  </si>
  <si>
    <t>Net-zero by 2040 in our own operations and private
labels, and by 2050 for the remaining company value chain
emissions (which include fashion brand partners,
packaging and transportation emissions).</t>
  </si>
  <si>
    <t>CSRD Digest 2024</t>
  </si>
  <si>
    <t>p 3</t>
  </si>
  <si>
    <t>Fully phase out virgin polyester for our private labels and transition to preferred options (e.g., recycled polyester) by 2033.</t>
  </si>
  <si>
    <t>virgin polyester in private labels</t>
  </si>
  <si>
    <t>Fully phase out conventional cotton for our private labels by 2033, and transition to organic, regenerative and recycled cotton, among others</t>
  </si>
  <si>
    <t>100% of shops have containers for collecting used clothing in 2020</t>
  </si>
  <si>
    <t>Annual report 2019</t>
  </si>
  <si>
    <t>100% shops have containers for used clothing</t>
  </si>
  <si>
    <t>Annual Report 2020</t>
  </si>
  <si>
    <t>Elimination of plastic bags</t>
  </si>
  <si>
    <t>The 2023 target for the elimination of single-use plastics for customers remains unmet, with a 5% residual use still reported. Inditex explained via phone call that this is mainly due to safety standards and the Zara Home product line, where some items still require plastic components. When asked, they noted that it is not possible to determine what share of the remaining 5% corresponds specifically to Zara Home, since data are reported at group level (aggregated).</t>
  </si>
  <si>
    <t>Elimination of single-use plastics for customers</t>
  </si>
  <si>
    <t>single-use plastic for clients</t>
  </si>
  <si>
    <t>p.183</t>
  </si>
  <si>
    <t>By 2023, we have managed to find alternative solutions to all single-use plastic items that reached the customer. We estimate that the application of these alternative solutions has enabled us to eliminate 95% of the weight of single-use plastic items.</t>
  </si>
  <si>
    <t>p.244</t>
  </si>
  <si>
    <t>By 2023, none of the waste from headquarters, shops and logostics will end in up in landfill</t>
  </si>
  <si>
    <t>in Landfill</t>
  </si>
  <si>
    <t>0% of waste coming from own instalations ends up in landfill</t>
  </si>
  <si>
    <t>p.598</t>
  </si>
  <si>
    <t>more than half of garments labelled with "Join Life"</t>
  </si>
  <si>
    <t>Non-financial Information Statement 2021</t>
  </si>
  <si>
    <t>61% garments included in "Join Life"</t>
  </si>
  <si>
    <t>Annual report 2022</t>
  </si>
  <si>
    <t>Regarding the 2023 target for sustainable cotton and artificial cellulose fibres, Inditex explained via phone call that the gap is mainly due to certification issues. In some cases, suppliers fail to provide the required sustainability certificates. The target is therefore still not fully met.</t>
  </si>
  <si>
    <t>All cotton and artificial cellulose fibres will come from sustainable sources</t>
  </si>
  <si>
    <t>cotton and artificial cellulose fibres from sustainable sources</t>
  </si>
  <si>
    <t>85% fibres and 96% cotton from sustainable sources</t>
  </si>
  <si>
    <t>85%, 96%</t>
  </si>
  <si>
    <t>fibres</t>
  </si>
  <si>
    <t>Annual report 2023</t>
  </si>
  <si>
    <t>p.239</t>
  </si>
  <si>
    <t>Reduce water consumption by 25% in the supply chain</t>
  </si>
  <si>
    <t>p 262</t>
  </si>
  <si>
    <t>Reduce water consumption in 25%</t>
  </si>
  <si>
    <t>Relative water consumption (litres/kg garment)</t>
  </si>
  <si>
    <t>p 226</t>
  </si>
  <si>
    <t>By 2025, all polyester and linen will come from more sustainable sources.</t>
  </si>
  <si>
    <t>sustainable fibers</t>
  </si>
  <si>
    <t>In 2024, 89% of polyester and 74% linen comes from low impact/preferred sources</t>
  </si>
  <si>
    <t>89%, 74%</t>
  </si>
  <si>
    <t>p.200</t>
  </si>
  <si>
    <t>Zara pre-owned launched in key markets in 2025</t>
  </si>
  <si>
    <t>With the addition of the United States
in 2024, the programme is now being implemented in 17 markets.</t>
  </si>
  <si>
    <t>markets</t>
  </si>
  <si>
    <t>New Sustainability Committments (2023)</t>
  </si>
  <si>
    <t>New Sustainability committments 2023</t>
  </si>
  <si>
    <t>17% reduction on water consumption related to the supply chain with respect to 2020</t>
  </si>
  <si>
    <t>New Sustainability committments</t>
  </si>
  <si>
    <t>Reducing emissions by over 53% in 2030</t>
  </si>
  <si>
    <t>New Sustainability Committments 2023</t>
  </si>
  <si>
    <t>100% of textile products will only use materials that delivera  lower impact</t>
  </si>
  <si>
    <t>lower impact materials</t>
  </si>
  <si>
    <t>No supplier uses coal in 2030</t>
  </si>
  <si>
    <t>Zero net emissions</t>
  </si>
  <si>
    <t>5 million hectares protected, restored or regenerated by 2030</t>
  </si>
  <si>
    <t>million ha</t>
  </si>
  <si>
    <t xml:space="preserve">Reported restoration of 750.000 ha </t>
  </si>
  <si>
    <t>ha</t>
  </si>
  <si>
    <t>Annual report 2024</t>
  </si>
  <si>
    <t>Reduce our emissions by more than 20% (in our value chain and own operations) compared to 2018.</t>
  </si>
  <si>
    <t>Scope 1: 21,055 / Scope 2 :486,957 / Scope 3: 1,761,288 tCO₂e</t>
  </si>
  <si>
    <t xml:space="preserve"> tCO₂e</t>
  </si>
  <si>
    <t>"In 2024, our GHG emissions are reduced by 5% compared to 2018, based on the emission categories covered by our SBT targets."</t>
  </si>
  <si>
    <t>tCO2e</t>
  </si>
  <si>
    <t>p.166</t>
  </si>
  <si>
    <t>Commitment to halve carbon emissions in absolute value (scope 1 &amp; 2) (baseline 2005)</t>
  </si>
  <si>
    <t>2009 sustainable development report</t>
  </si>
  <si>
    <t>p90</t>
  </si>
  <si>
    <t>Commitment to halve carbon emissions in absolute value (scope 1 &amp; 2)</t>
  </si>
  <si>
    <t>% of CO2 emissions in absolute</t>
  </si>
  <si>
    <t>Annual report 2015</t>
  </si>
  <si>
    <t>p48</t>
  </si>
  <si>
    <t>Commitment to halve waste generationper finished product produced(baseline 2005)</t>
  </si>
  <si>
    <t>% waste reduction per finished product produced</t>
  </si>
  <si>
    <t>p194</t>
  </si>
  <si>
    <t>g per FP</t>
  </si>
  <si>
    <t>Commitment to halve waste generation (baseline 2005)</t>
  </si>
  <si>
    <t>% of waste generation (gram/finished product)</t>
  </si>
  <si>
    <t>Annual report 2016</t>
  </si>
  <si>
    <t>p6</t>
  </si>
  <si>
    <t>Commitment to halve water consumption perfinished product (baseline 2005)</t>
  </si>
  <si>
    <t>% reduction in water consumption perfinished product</t>
  </si>
  <si>
    <t>litre per FG</t>
  </si>
  <si>
    <t>p 191</t>
  </si>
  <si>
    <t>Commitment to water consumption at industrial sites (baseline 2005)</t>
  </si>
  <si>
    <t>% of water consumption (liter/finished product)</t>
  </si>
  <si>
    <t>By 2020, innovate so that 100% of products have an environmental or social benefit.</t>
  </si>
  <si>
    <t>2013 sustainable development report</t>
  </si>
  <si>
    <t>% of new products</t>
  </si>
  <si>
    <t>Sustainability report 2020 - sharing beauty with all</t>
  </si>
  <si>
    <t>p9</t>
  </si>
  <si>
    <t>By 2020, reduce CO2 emissions at our plants and distribution centres by 60% in absolute terms, from a 2005 baseline.</t>
  </si>
  <si>
    <t>p6, only 10% on top of the 2015 target</t>
  </si>
  <si>
    <t>p.5</t>
  </si>
  <si>
    <t>By 2020,  reduce our water consumption by 60% per finished product unit, from a 2005 baseline.</t>
  </si>
  <si>
    <t>p9, no change since 2016</t>
  </si>
  <si>
    <t>By 2020,  reduce waste by 60% per finished product unit, from a 2005 baseline</t>
  </si>
  <si>
    <t>Until 2020, send zero waste to landfill</t>
  </si>
  <si>
    <t>waste to landfill</t>
  </si>
  <si>
    <t>By 2020, reduce our CO2 emissions from transportation of products by 20% per finished product unit from a 2011 baseline.</t>
  </si>
  <si>
    <t>% of CO2 emissions (in grams of CO2 per unit sold per kilometre)</t>
  </si>
  <si>
    <t>By 2030, overarching commitment to " reduce by 50% per finished product (which represents -25% in absolute terms) all our greenhouse gas emissions (scopes 1, 2 and 3) (baseline 2016</t>
  </si>
  <si>
    <t>Sustainbility report 2020 L'Oréal for the future</t>
  </si>
  <si>
    <t>p8</t>
  </si>
  <si>
    <t>By 2030, reduce greenhouse gas emissions associated with the use of our products by an average of 25% per finished product, compared to 2016.</t>
  </si>
  <si>
    <t>By 2030, we will reduce greenhouse gas emissions related to the transportation of our products by an average of 50% per finished product compared to 2016.</t>
  </si>
  <si>
    <t>By 2030, our strategic suppliers will reduce their direct greenhouse gas emissions (scope 1 and 2) by 50% in absolute terms compared to 2016.</t>
  </si>
  <si>
    <t>By 2025, commitment to achieve carbon neutrality in all of our sites, by improving energy efficiency and using 100% renewable energy</t>
  </si>
  <si>
    <t>By 2030, evaluate 100% of formulas to ensure their safety for aquatic ecosystem diversity.</t>
  </si>
  <si>
    <t>By 2030, reduce water consumption related to product use by an average of 25% per finished product compared to 2016.</t>
  </si>
  <si>
    <t>By 2030, 100% of the water used in the industrial process will be recycled and reused in a loop</t>
  </si>
  <si>
    <t>By 2030, 95% of the ingredients in our formulas will be bio-sourced, derived from abundant minerals or circular processes.</t>
  </si>
  <si>
    <t>By 2030, we will reduce the amount of packaging used for our products by 20% in intensity compared to 2019.</t>
  </si>
  <si>
    <t xml:space="preserve">By 2025, 50% of the plastic used in packaging will be either from recycled or biobased sources </t>
  </si>
  <si>
    <t>By 2030, 100% of the plastic used in packaging will be either from recycled or biobased sources</t>
  </si>
  <si>
    <t>By 2025, 100% of our plastic packaging will be refillable, reusable, recyclable or compostable.</t>
  </si>
  <si>
    <t>By 2025, 100% of our new Free Standing Stores will be designed and built following our sustainability principles..</t>
  </si>
  <si>
    <t>By 2030, commitment to holding flat, by 2030, the total land occupancy vital to the sourcing of our ingredients, compared to 2019.</t>
  </si>
  <si>
    <t>By 2030, guarantee that 100% of ingredients in formulas and biobased packaging materials are traceable and come from sustainable sources</t>
  </si>
  <si>
    <t>By 2030, ensure that all industrial sites and buildings operated by L’Oréal have a positive impact on biodiversity, compared to 2019</t>
  </si>
  <si>
    <t>By 2030, recover (reuse or recycle) 100% of waste generated on industrial sites.</t>
  </si>
  <si>
    <t>By 2030, reduce Scopes 1 &amp; 2 GHG emissions by 57% in absolute value (baseline 2019)</t>
  </si>
  <si>
    <r>
      <rPr>
        <rFont val="Arial"/>
      </rPr>
      <t xml:space="preserve">Sustainability report 2024; </t>
    </r>
    <r>
      <rPr>
        <rFont val="Arial"/>
        <color rgb="FF1155CC"/>
        <u/>
      </rPr>
      <t>environmental webpage</t>
    </r>
    <r>
      <rPr>
        <rFont val="Arial"/>
      </rPr>
      <t xml:space="preserve"> 2024</t>
    </r>
  </si>
  <si>
    <t>p181</t>
  </si>
  <si>
    <t>Sustainability report 2024</t>
  </si>
  <si>
    <t>p.50</t>
  </si>
  <si>
    <t>By 2030, reduce Scope 3 GHG emissions by 28% in absolute value (baseline 2019)</t>
  </si>
  <si>
    <r>
      <rPr>
        <rFont val="Arial"/>
      </rPr>
      <t xml:space="preserve">Sustainability report 2024, </t>
    </r>
    <r>
      <rPr>
        <rFont val="Arial"/>
        <color rgb="FF1155CC"/>
        <u/>
      </rPr>
      <t>environmental webpage</t>
    </r>
    <r>
      <rPr>
        <rFont val="Arial"/>
      </rPr>
      <t xml:space="preserve"> 2024</t>
    </r>
  </si>
  <si>
    <t xml:space="preserve">By 2050, reduce Scopes 1, 2 &amp; 3 carbon emissions by 90%, compared with 2019 </t>
  </si>
  <si>
    <t>p.163</t>
  </si>
  <si>
    <t>By 2030, ensure that at least 90% of the bio-based ingredients and materials used in our formulas and packaging come from sustainable sources.</t>
  </si>
  <si>
    <t>at least 90%</t>
  </si>
  <si>
    <t>environment webpage 2024</t>
  </si>
  <si>
    <t>% of ingredients</t>
  </si>
  <si>
    <t>p 50</t>
  </si>
  <si>
    <t>By 2030, we will ensure that more than 75% of the ingredients used in our formulas are sourced from nature (plant or mineral) or recycled materials.</t>
  </si>
  <si>
    <t>By 2030, regenerate an area of land greater than our footprint within priority ecosystems to improve their health and resilience.</t>
  </si>
  <si>
    <t>Reducing its energy consumption by 20%</t>
  </si>
  <si>
    <t>2016 Social and Environmental Responsibility Report - LVMH</t>
  </si>
  <si>
    <t>p.26</t>
  </si>
  <si>
    <t>store energy consumption</t>
  </si>
  <si>
    <t>p 37</t>
  </si>
  <si>
    <t>Increase consumption of renewable energy at sites in the greater Paris region by 50%</t>
  </si>
  <si>
    <t>Reach 30% of renewable energy in the energy mix</t>
  </si>
  <si>
    <t>2017 Social and Environmental Responsibility Report - LVMH</t>
  </si>
  <si>
    <t>p37</t>
  </si>
  <si>
    <t>use of green energy</t>
  </si>
  <si>
    <t>Replace 100% of retail space with full LED lighting</t>
  </si>
  <si>
    <t>p.40, later upgraded to 100%</t>
  </si>
  <si>
    <t>% of retail space with full led lighting</t>
  </si>
  <si>
    <t>Sustainbility report 2020</t>
  </si>
  <si>
    <t>p127</t>
  </si>
  <si>
    <t>The Maisons in the Perfumes &amp; Cosmetics groups have committed to improving the Environmental Performance Index (EPI) for the packaging of their products by 10% between 2013 and 2020</t>
  </si>
  <si>
    <t>p.33</t>
  </si>
  <si>
    <t>% of amelioration of the EPI</t>
  </si>
  <si>
    <t>The Maisons in the Wines &amp; spirit Champagne groups have committed to improving the Environmental Performance Index (EPI) for the packaging of their products by 10% between 2013 and 2020</t>
  </si>
  <si>
    <t>The Maisons in the Wines &amp; spirit Cognac groups have committed to improving the Environmental Performance Index (EPI) for the packaging of their products by 10% between 2013 and 2020</t>
  </si>
  <si>
    <t>The Perfumes &amp; Cosmetics Maisons have set themselves the objective of using 70% of palm oil derivatives certified by the RSPO (Roundtable on Sustainable Palm Oil)</t>
  </si>
  <si>
    <t>2018 Social and Environmental Responsibility Report - LVMH</t>
  </si>
  <si>
    <t>p.31, 39</t>
  </si>
  <si>
    <t>% of palm oil suppliers RSPO certified</t>
  </si>
  <si>
    <t>LVMH has set itself the objective of using 70% of leather from LWG-certifi ed tanneries by 2020</t>
  </si>
  <si>
    <t>p.37</t>
  </si>
  <si>
    <t>Sustainable viticulture certification for LVMH-owned vineyards around the world</t>
  </si>
  <si>
    <t>p32</t>
  </si>
  <si>
    <t>% of international vineyards certified</t>
  </si>
  <si>
    <t>Certified cotton (BCI or organic cotton, etc.) or recycled cotton</t>
  </si>
  <si>
    <t>GOTS and BCI certified cotton</t>
  </si>
  <si>
    <t>% of cotton suppliers GOTS and BCI certified</t>
  </si>
  <si>
    <t>Fox, mink &amp; racoon certification</t>
  </si>
  <si>
    <t>2020 Social and Environmental Responsibility Report - LVMH</t>
  </si>
  <si>
    <t>Fox, mink &amp; racoon certification (100%</t>
  </si>
  <si>
    <t>% of fur suppliers with the highest standards</t>
  </si>
  <si>
    <t>All fur certification</t>
  </si>
  <si>
    <t>p.41</t>
  </si>
  <si>
    <t>% of all furs suppliers with the highest standards</t>
  </si>
  <si>
    <t>RJC COP diamond certification</t>
  </si>
  <si>
    <t>proportion of suppliers RJC COP certified</t>
  </si>
  <si>
    <t>RJC COP gold certification</t>
  </si>
  <si>
    <t>Reduce greenhouse gas emissions relating to energy consumption (scope 1 &amp; 2) by 25% (baseline 2013)</t>
  </si>
  <si>
    <t>% of CO2 emission reduction</t>
  </si>
  <si>
    <t>Objective of reducing at least one of the following three indicators by 10% by 2020: water consumption, energy consumption and waste generation (baseline 2013)</t>
  </si>
  <si>
    <t>% of water consumption on sites</t>
  </si>
  <si>
    <t>p127. Partially failed. Excerpt from 2020 Environmental report: "Sites managed to cut their process water consumption by 11.6%, but did not fulfill the target with respect to waste production, achieving only a 4.4% reduction (compared with an 8.7% rise in 2019), and energy consumption (which rose 0.5%, compared with a 6.5% rise in 2019)"</t>
  </si>
  <si>
    <t>Rolling out an environmental management system (ISO 14001, or EMAS, etc.) at 100% of the manufacturing sites</t>
  </si>
  <si>
    <t>p44</t>
  </si>
  <si>
    <t>Establish an environmental management system at sites (through ISO 14001 environmental certification)</t>
  </si>
  <si>
    <t>industrial facilities covered by environmental management systems</t>
  </si>
  <si>
    <t>p127. ""The objective for all manufacturing and logistics sites to earn ISO 14001 certification was not achieved, yet the drop in certifications this year compared with 2019 (down from 71% to 69%) came as a result of a number of audits being pushed back to 2021 due to the pandemic.""</t>
  </si>
  <si>
    <t xml:space="preserve">Commitment to reducing its stores’ energy consumption per square meter by 30% </t>
  </si>
  <si>
    <t>% reduction in the energy consumed by stores in kWh/m</t>
  </si>
  <si>
    <t>By 2026, target of zero plastic from virgin fossil oil</t>
  </si>
  <si>
    <t>p64-65</t>
  </si>
  <si>
    <t>By 2026, LVMH wants 100% of its strategic raw materials certified to the highest standards guaranteeing the preservation of ecosystems</t>
  </si>
  <si>
    <t>p67</t>
  </si>
  <si>
    <t>By 2030, LVMH will support regenerative agriculture, targeting the preservation or restoration of 5 million hectares (50,000 sq. km) of habitat for flora and fauna</t>
  </si>
  <si>
    <t>5 million hectares</t>
  </si>
  <si>
    <t xml:space="preserve">million hectares </t>
  </si>
  <si>
    <t>By 2030, LVMH aims to reduce (and/or avoid) scope 3 greenhouse gas emissions per unit of added value by 55% (baseline 2019)</t>
  </si>
  <si>
    <t>p.64-65</t>
  </si>
  <si>
    <t>By 2026, LVMH aims to halve emissions from energy consumption (Scope 1 &amp; 2) (baseline 2019)</t>
  </si>
  <si>
    <t>% of reduction in GHG emissions</t>
  </si>
  <si>
    <t>Sustainbility report 2024</t>
  </si>
  <si>
    <t>P29</t>
  </si>
  <si>
    <t>By 2026, 100% renewable or low-carbon energy at sites and stores</t>
  </si>
  <si>
    <t>Introducing new circular services (repairs, upcycling, etc.)</t>
  </si>
  <si>
    <t>p66</t>
  </si>
  <si>
    <t>% of brands who have implemented circular services excluding wines &amp; spirits brands</t>
  </si>
  <si>
    <t>Sustainbility report 2023</t>
  </si>
  <si>
    <t>p87</t>
  </si>
  <si>
    <t>30% reduction in water withdrawal</t>
  </si>
  <si>
    <t xml:space="preserve">2023 social and environmental responsibility report </t>
  </si>
  <si>
    <t>p1</t>
  </si>
  <si>
    <t>Eliminating hazardous substances throughout the supply chain</t>
  </si>
  <si>
    <t>26% of the tier 2 factories in its value chain are registered in the ZDHC programme.</t>
  </si>
  <si>
    <t>The entire supply chain at ZDHC needs to be reviewed. No reference has been made to the achievement of this objective in the subsequent reports to which I have had access. Only to % of factories reviewed</t>
  </si>
  <si>
    <t>Zero discharge of chemicals in the supply chain</t>
  </si>
  <si>
    <t>Failed because in 2020 the entire supply chain has not been tracked (even in 2022)</t>
  </si>
  <si>
    <t xml:space="preserve">50% sustainable cotton </t>
  </si>
  <si>
    <t>sustainable cotton</t>
  </si>
  <si>
    <t>Sustainability report 2017</t>
  </si>
  <si>
    <t>93% of more sustainable cotton</t>
  </si>
  <si>
    <t>2022 Sustainability report</t>
  </si>
  <si>
    <t>p.12 (I don't know if "more sustainable cotton equals the pledge of 50% sustainable cotton)</t>
  </si>
  <si>
    <t>Reach 6% of sustainable garments</t>
  </si>
  <si>
    <t>sustainable garments</t>
  </si>
  <si>
    <t>4 million garments in 2017, 3% (doubling)</t>
  </si>
  <si>
    <t>"2018 MANGO produced close to 9 million garments with sustainable characteristics. This accounts or 6% of total MANGO production for all its lines and fulfils the established targets."</t>
  </si>
  <si>
    <t>Sustainability report 2018</t>
  </si>
  <si>
    <t>Sustaniability report 2022</t>
  </si>
  <si>
    <t>More sustainable cotton used in 2022</t>
  </si>
  <si>
    <t>94%  Cotton from low impact sources</t>
  </si>
  <si>
    <t>2024 Sustainability report</t>
  </si>
  <si>
    <t>100% recycled polyester</t>
  </si>
  <si>
    <t>68% polyester is recycled</t>
  </si>
  <si>
    <t xml:space="preserve">100% of the cellulose fibres used will be of controlled and traceable origin by 2025. </t>
  </si>
  <si>
    <t xml:space="preserve">8% sustainable  cellulose fibers </t>
  </si>
  <si>
    <t>Sustainability report 2022</t>
  </si>
  <si>
    <t>78% cellulose fibers from trazable origin</t>
  </si>
  <si>
    <t>In 2030, all fibers will come from preferred sources</t>
  </si>
  <si>
    <t>fibers from "Preferred sources"</t>
  </si>
  <si>
    <t>Website 2025</t>
  </si>
  <si>
    <t>70% all fibers come from preferred/ low impact sources</t>
  </si>
  <si>
    <t>By 2030, we will have reduced our scope 1 and 2 greenhouse gas emissions by 80% and our scope 3 emissions by 35%.</t>
  </si>
  <si>
    <t>-80%/-35%</t>
  </si>
  <si>
    <t>Target for reducing total water consumption by 2030 (vs 2019)</t>
  </si>
  <si>
    <t>*This goal and the latter are the same (reviewed objective)</t>
  </si>
  <si>
    <t>Scope 1 and 2 - Reduce absolute scope 1 and 2 GHG emissions 70%, by 2030 from a 2019 base year</t>
  </si>
  <si>
    <t>2020 Consolidated non financial statement</t>
  </si>
  <si>
    <t>p. 85, Market-based goal value: 2232,03</t>
  </si>
  <si>
    <t>p.85, Market-based value: 7,437.93</t>
  </si>
  <si>
    <t>Change of baseline year and Scope 3 pledges value in 2022, following the integration of Stone Island</t>
  </si>
  <si>
    <t>Scope 3 - Reduce absolute scope 3 GHG emissions 14%, by 2030 from a 2019 base year</t>
  </si>
  <si>
    <t>p.85</t>
  </si>
  <si>
    <t>100% carbon neutral at own sites worldwide</t>
  </si>
  <si>
    <t>p.35. lacking detail on what that means</t>
  </si>
  <si>
    <t>2024 Group Annual Report</t>
  </si>
  <si>
    <t>At least 50% of electricity consumption from renewable sources at own sites worldwide</t>
  </si>
  <si>
    <t>2019 Consolidated non financial statement</t>
  </si>
  <si>
    <t>p.35</t>
  </si>
  <si>
    <t>100% renewable energy at own sites worldwide</t>
  </si>
  <si>
    <t>100% of electricity used at directly managed corporate sites worldwide from renewable source</t>
  </si>
  <si>
    <t>2023 Consolidated non Financial Statement</t>
  </si>
  <si>
    <t>p.55</t>
  </si>
  <si>
    <t>65% low environmental impact vehicles in company car fleet worldwide</t>
  </si>
  <si>
    <t>Hybrid and electrical vehicles in company car fleet worldwide</t>
  </si>
  <si>
    <t>65% only Moncler company, 56% Group</t>
  </si>
  <si>
    <t>2021 Consolidated non financial statement</t>
  </si>
  <si>
    <t>p.139</t>
  </si>
  <si>
    <t>50% sustainable nylon used (2019 base year)</t>
  </si>
  <si>
    <t>p.35, Until 2022, the target refers to nylon used, while from 2023 onwards it refers to nylon used in the 2025 collections. Defined as ‘sustainable nylon’ until the 2021 report. The 2022 report refers to ‘lower impact nylon’. From the 2023 report onwards, ‘preferred nylon’, i.e. materials that aim to have a lower impact than the conventional solutions used by the Moncler Group (e.g. recycled, organic or certified in line with specific standards).</t>
  </si>
  <si>
    <t>&gt;50% of the nylon used in the SS and FW 2024 collections is made of “preferred” material, for example recycled (&gt;40% in the SS and FW 2023 collections)</t>
  </si>
  <si>
    <t>p.82</t>
  </si>
  <si>
    <t>DIST-certified down recycling</t>
  </si>
  <si>
    <t>Launch of DIST-certified down recycling process</t>
  </si>
  <si>
    <t>Recycled approximately one tonne of DIST-certified down</t>
  </si>
  <si>
    <t>Nylon fabric scraps recycled</t>
  </si>
  <si>
    <t xml:space="preserve">Report 2021, (p.52) At least 80% of nylon scraps recycled**For Stone Island, the target refers to nylon production scraps recycled at own sites. </t>
  </si>
  <si>
    <t>Report 2022, (p.52) The original target was changed because in some countries no suitable nylon recycling operators were found and transport outside the country of production is subject to customs restrictions</t>
  </si>
  <si>
    <t>At least 55% of nylon production scraps (Group’s direct production sites and Moncler’s outerwear suppliers) recycled</t>
  </si>
  <si>
    <t>100% of nylon scraps recycled from own direct sites. Recycling extended to Moncler external outerwear production network, reaching 55% of total outerwear nylon scraps</t>
  </si>
  <si>
    <t>Extra Life repair service developed worldwide</t>
  </si>
  <si>
    <t>p.35, in 2022 project redefined including the Take Me Back initiative</t>
  </si>
  <si>
    <t>Extra-Life “advanced” repair service developed at global level</t>
  </si>
  <si>
    <t>2022 CONSOLIDATED NON-FINANCIAL STATEMENT | Moncler Group</t>
  </si>
  <si>
    <t>Take Me Back project implemented worldwide</t>
  </si>
  <si>
    <t>Project redefined</t>
  </si>
  <si>
    <t>100% sustainable packaging for end clients</t>
  </si>
  <si>
    <t>100% of packaging for Moncler end clients made of lower impact materials</t>
  </si>
  <si>
    <t>p.53</t>
  </si>
  <si>
    <t>Zero single-use conventional plastics</t>
  </si>
  <si>
    <t>Replaced about 44% of single-use conventional plastics with recycled plastic</t>
  </si>
  <si>
    <t>Zero single-use virgin plastic</t>
  </si>
  <si>
    <t>Eliminated single-use virgin plastic from fossil origin</t>
  </si>
  <si>
    <r>
      <rPr/>
      <t xml:space="preserve">The "unclearliness" of the pledge success was due to the change of "sustainable" with "preferred" materials that the company adopted in 2023. So the goal was change from "100% sustainable" to "100% preferred" materials. Nonetheless, the reply from the company didn't clarify the difference between the two terms. See p. 4 here: </t>
    </r>
    <r>
      <rPr>
        <color rgb="FF1155CC"/>
        <u/>
      </rPr>
      <t>https://textileexchange.org/app/uploads/2023/02/Preferred-Fibers-and-Materials-Definitions-Guidance-Jan-2023.pdf</t>
    </r>
    <r>
      <rPr/>
      <t xml:space="preserve"> In the definition, you can clearly see that also "social" factors can be taken into consideration in the definition of "preferred materials".</t>
    </r>
  </si>
  <si>
    <t>100% sustainable packaging in logistics services</t>
  </si>
  <si>
    <t>In logistics packaging 44% of the plastic used is recycled and 70% of the paper used is recycled</t>
  </si>
  <si>
    <t>100% of packaging used in logistics processes made with “preferred” materials</t>
  </si>
  <si>
    <t>p.56</t>
  </si>
  <si>
    <t>100% of down suppliers also compliant with new human rights and environment modules included in the DIST Protocol</t>
  </si>
  <si>
    <t>100% of key raw materials traced</t>
  </si>
  <si>
    <t>Key raw material traced</t>
  </si>
  <si>
    <t>p.57</t>
  </si>
  <si>
    <t>100% of key raw materials in line with the Responsible Raw Materials Manual</t>
  </si>
  <si>
    <t>Consolidated Sustainability Statement (section of the 2024 Annual Report)</t>
  </si>
  <si>
    <t>p.157</t>
  </si>
  <si>
    <t>90% low environmental impact vehicles in company car fleet worldwide</t>
  </si>
  <si>
    <t>p.127</t>
  </si>
  <si>
    <t>Fur free Moncler collections</t>
  </si>
  <si>
    <t>p.53, In January 2022, Moncler committed to phase out the use of fur in all its collections starting from 2024. Stone Island, that has not used fur since 2018, has pledged not to use it also in the future.</t>
  </si>
  <si>
    <t>Moncler Group’s fur-free collections</t>
  </si>
  <si>
    <t>p.83, (p.283) Moncler Group, by adhering to the Fur-Free Retailer Policy, has committed to not using animal fur in all its collections. The word "fur" refers to any skin with hair from animals raised or caught in the wild exclusively or primarily for their fur, for example fox, mink, coyote, finn raccon, ermine, rabbit, etc. Short and long hair shearling from livestock primarily raised for meat, (e.g. calf, cow, sheep, lamb and goat) do not fall under the above definition of “fur”. To ensure that such animals are indeed a by-product of the food supply chain, the Group requires a third-party audit to be carried out on the supply chain. The last brand Moncler collection to feature fur was the Fall/Winter 2023 collection, while Stone Island has not used fur since 2018. As an alternative to fur, the Group also uses synthetic materials.</t>
  </si>
  <si>
    <t>100% merino wool used in the 2025 collections will be certified mulesing free</t>
  </si>
  <si>
    <t>Around 93% of the merino wool used in the SS and FW 2024 collections made with materials that are certified mulesing free (&gt;65% in the SS and FW 2023 collections)</t>
  </si>
  <si>
    <t>p.82, (p.238) The Group has committed to purchasing only mulesing free certified merino wool from the 2025 collections, meaning wool from sheep not subjected to the practice of mulesing, which consists of removing a portion of skin around the tail to prevent parasitic infections. In the 2024 collections, approximately 93% of merino wool is made with mulesing free certified materials.</t>
  </si>
  <si>
    <t>100% sustainable packaging for Stone Island end clients</t>
  </si>
  <si>
    <t>Packaging for Stone Island end clients made of lower impact materials</t>
  </si>
  <si>
    <t>packaging for Moncler and Stone Island end clients made with “preferred” materials</t>
  </si>
  <si>
    <t>Scope 3 - Reduce per unit sold GHG emissions 52%, by 2030 from a 2021 base year</t>
  </si>
  <si>
    <t>p.54</t>
  </si>
  <si>
    <t>p.140, p.179</t>
  </si>
  <si>
    <t>p.133</t>
  </si>
  <si>
    <t>Scope 1 and 2 - Reduce absolute scope 1 and 2 GHG emissions 70%, by 2030 from a 2021 base year</t>
  </si>
  <si>
    <t>p.179</t>
  </si>
  <si>
    <t>p.140, p.179, MB value: 4824,1</t>
  </si>
  <si>
    <t>p.131</t>
  </si>
  <si>
    <t>Net zero - Reduce scope 1, 2 and 3 GHG emissions by 90% and neutralise all residual emissions with carbon removals</t>
  </si>
  <si>
    <t>p.138</t>
  </si>
  <si>
    <t>Baseline year and goal value not explicitly indicated in document, calculated on 2021 values.</t>
  </si>
  <si>
    <t>Scope 1, 2 and 3 emissions</t>
  </si>
  <si>
    <t>p.130</t>
  </si>
  <si>
    <t>50% lower impact cotton</t>
  </si>
  <si>
    <t>“preferred” cotton used in the 2025 collections</t>
  </si>
  <si>
    <t>12% of cotton used in SS and FW 2023 collections is organic or recycled</t>
  </si>
  <si>
    <t>37% of cotton used in the SS and FW 2024 collections is organic or recycled (&gt;12% in the SS and FW 2023 collections)</t>
  </si>
  <si>
    <t>p.82, p.153</t>
  </si>
  <si>
    <t>50% of yarns and fabrics will be from lower impact materials</t>
  </si>
  <si>
    <t>lower impact yarns and fabrics (e.g. GRS, GOTS, RWS) used in SS and FW 2022 collections</t>
  </si>
  <si>
    <t>Over 50% of yarns and fabrics will be from “preferred” materials (Materials that aim to deliver reduced impacts compared to the conventional equivalents used by the Moncler Group (for example recycled, organic, or certified according to specific standards)</t>
  </si>
  <si>
    <t>&gt;43% of the yarns and fabrics used in the SS and FW 2024 collections made with "preferred" materials (&gt;25% in the SS and FW 2023 collections)</t>
  </si>
  <si>
    <t>70% wool certified Responsible Wool Standard (RWS)</t>
  </si>
  <si>
    <t>Over 45% of the wool used in the SS and FW 2023 collections is made with certified materials, for example Responsible Wool Standard – RWS, Nativa, Sustainawool</t>
  </si>
  <si>
    <t>Around 70% of the wool used in the SS and FW 2024 collections made with certified materials, for example Responsible Wool Standard – RWS, Nativa, Sustainawool (&gt;45% in the SS and FW 2023 collections)</t>
  </si>
  <si>
    <t>OVS</t>
  </si>
  <si>
    <t>To use organic or recycled fibres, or those from crops of the Better Cotton Initiative, for 100% of our cotton products by 2020</t>
  </si>
  <si>
    <t>organic or recycled or Better Cotton Initiative fibers</t>
  </si>
  <si>
    <t>SUSTAINABILITY REPORT 2016</t>
  </si>
  <si>
    <t>p 16 (29 on page)</t>
  </si>
  <si>
    <t>100% organic or recycled or Better Cotton Initiative fibers</t>
  </si>
  <si>
    <t>organic or Better Cotton Initiative fibers</t>
  </si>
  <si>
    <t>Sustainability Report 2020</t>
  </si>
  <si>
    <t>p 13 (24 on page)</t>
  </si>
  <si>
    <t>In 2017, we will power our head office and [Italian] stores with 100% renewable energy.</t>
  </si>
  <si>
    <t>renewable energy used in HQ and stores</t>
  </si>
  <si>
    <t>p 44 (85 on page)</t>
  </si>
  <si>
    <t xml:space="preserve">100% head office and stores powered by renewable energy </t>
  </si>
  <si>
    <t>OVS Bilancio annuale 2017</t>
  </si>
  <si>
    <t>p 90</t>
  </si>
  <si>
    <t>By 2020, all our product reports will include circular design principles. [Entro il 2020, tutti i nostri brief di prodotto includeranno principi circolari di design.]</t>
  </si>
  <si>
    <t>product reports including circular design principles</t>
  </si>
  <si>
    <t>100% product reports include circular design principles</t>
  </si>
  <si>
    <t>OVS Annual Report</t>
  </si>
  <si>
    <t>p 68</t>
  </si>
  <si>
    <t>By 2020, all our garments will be measured with a circularity score. [Entro il 2020, tutti i nostri capi di abbigliamento saranno misurati con un punteggio di circolarità.]</t>
  </si>
  <si>
    <t>garments assessed by circularity score</t>
  </si>
  <si>
    <t>100% clothing assessed by a circularity score</t>
  </si>
  <si>
    <t>OVS Consolidated Non-financial Statement 2019</t>
  </si>
  <si>
    <t>p 47</t>
  </si>
  <si>
    <t>clarified by company: achieved</t>
  </si>
  <si>
    <t>By 2020, all our stores in Europe will have an active used clothing collection system [Entro il 2020 tutti i nostri negozi in Europa avranno un sistema di raccolta dei capi usati attivo]</t>
  </si>
  <si>
    <t>European stores with used clothing collection service</t>
  </si>
  <si>
    <t>p 84 "we have activated the collection of used clothing since 2013, and until 2020 we have collected over 1,200 tons of garments avoiding their disposal in landfills;", but no mention of in-store systems</t>
  </si>
  <si>
    <t>clarified by company: failed</t>
  </si>
  <si>
    <t>we will collect 1000 tonnes of clothing per year [raccoglieremo 1000 tonnellate di capi all’anno]</t>
  </si>
  <si>
    <t>tons/year used clothing collected</t>
  </si>
  <si>
    <t>p 84 "we have activated the collection of used clothing since 2013, and until 2020 we have collected over 1,200 tons of garments avoiding their disposal in landfills;", but not clear whether this is per year or overall</t>
  </si>
  <si>
    <t>By 2020, we will have established a partnership with a partner specialising in fabric recycling and/or a philanthropic institution to manage all clothing collected by the OVS SpA group brands [Entro il 2020 avremo attivato una collaborazione con un partner specializzato nel riciclo dei tessuti e / o una istituzione filantropica per la gestione di tutti i capi raccolti dai marchi del gruppo OVS SpA.]</t>
  </si>
  <si>
    <t>p 56 "Launch of a program for the recovery and recycling of textile production waste for the production of recycled materials in order to actively reintroduce them into the production cycle, through the Circular Fashion Partnership;" not sure if that qualifies</t>
  </si>
  <si>
    <t>By 2020, we will have produced 3 million garments using fibres from fabrics collected from consumers. [Entro il 2020, avremo prodotto 3 milioni di capi con fibre da tessuti raccolti dai consumatori.]</t>
  </si>
  <si>
    <t>garments from used/collected clothes</t>
  </si>
  <si>
    <t>By 2020, we will have launched at least two initiatives to promote and research the recycling of cotton and polyester textile fibres [Entro il 2020, avremo attivato almeno due iniziative di promozione e ricerca sul riciclo di fibre tessili su cotone e poliestere]</t>
  </si>
  <si>
    <t>initiatives to promote recycling fibers</t>
  </si>
  <si>
    <t xml:space="preserve">launched at least two initiatives to promote and research the recycling of cotton and polyester </t>
  </si>
  <si>
    <t>replacement of 100% of plastic display packaging with cardboard or recycled plastic supports</t>
  </si>
  <si>
    <t>display packaging in cardboard or recycled plastc</t>
  </si>
  <si>
    <t>p 86 "In 2019, the replacement of 100% plastic display packaging with cardboard or recycled plastic backings was initiated, resulting in the elimination of more than 27,000 kg of previously used plastic between bags and product boxes in 2020."</t>
  </si>
  <si>
    <t>In 2021 we will reach 100% [certified organic cotton or Better Cotton Initiative]</t>
  </si>
  <si>
    <t>certified organic or BCI cotton (or recycled)</t>
  </si>
  <si>
    <t>cotton used is certified organic or Better Cotton Initiative</t>
  </si>
  <si>
    <t>100% certified or organic cotton</t>
  </si>
  <si>
    <t xml:space="preserve">cotton used is recycled, organic or Better Cotton </t>
  </si>
  <si>
    <t>Sustainability Report 2021</t>
  </si>
  <si>
    <t>p 13 (21 on page)</t>
  </si>
  <si>
    <t>100% of our stores will receive a sustainability index rating by 2021</t>
  </si>
  <si>
    <t>stores with sustainability index rating</t>
  </si>
  <si>
    <t>p 47 (93 on page)</t>
  </si>
  <si>
    <t>80% of OVS’s 2020 production volume comes from suppliers engaged in improvement programs through the Higg platform. In 2022 we will reach 100%</t>
  </si>
  <si>
    <t>production volume from suppliers engaged in improvement programs through the Higg platform</t>
  </si>
  <si>
    <t>p 24 (48 on page)</t>
  </si>
  <si>
    <t>100% production volume from suppliers engaged in improvement programs through the Higg platform</t>
  </si>
  <si>
    <t>production volume from clothing suppliers engaged in improvement programs through the Higg platform</t>
  </si>
  <si>
    <t>Sustainability Report 2022</t>
  </si>
  <si>
    <t>p 29 (55 on page)</t>
  </si>
  <si>
    <t>By 2025, more than 90% of our selection array will be made with material from certified low impact supply chains, today it is over 65%</t>
  </si>
  <si>
    <t>clothes made with materials from low impact supply chains</t>
  </si>
  <si>
    <t>p 12 (22 on page)</t>
  </si>
  <si>
    <t>90% clothes made with materials from low impact supply chains</t>
  </si>
  <si>
    <t>Better Products of the total assortment, also ahead of our target for 2025</t>
  </si>
  <si>
    <t>Sustainability Report 2023</t>
  </si>
  <si>
    <t>p 18 (32 on page)</t>
  </si>
  <si>
    <t>by 2025, we will reach 100% [denim produced with Waterless method],saving over 1 billion litres of water</t>
  </si>
  <si>
    <t>denim produced with Waterless method</t>
  </si>
  <si>
    <t>p 17 (32 on page)</t>
  </si>
  <si>
    <t>30% reduction in [stores] emissions by 2030</t>
  </si>
  <si>
    <t>store emissions</t>
  </si>
  <si>
    <t>p 45 (88 on page)</t>
  </si>
  <si>
    <t>Scope 3 emissions reduction target of 21% by 2024</t>
  </si>
  <si>
    <t>p 100</t>
  </si>
  <si>
    <t>OVS Annual Report 2024</t>
  </si>
  <si>
    <t>p 99</t>
  </si>
  <si>
    <t>-21% Scope 3 emissions</t>
  </si>
  <si>
    <t>By 2025, more than 90% of our products will have at least one of the following characteristics: composition with certified low-impact raw materials (such as organic cotton or recycled polyester); production with reduced water or chemical consumption treatments; specific certification on the finished product (e.g. OEKO-TEX, Cradle-to-Cradle,...); design in collaboration with projects with positive social impact.</t>
  </si>
  <si>
    <t>Percentage of materials from certified low impact supply chains</t>
  </si>
  <si>
    <t>p 13 (20 on page)</t>
  </si>
  <si>
    <t>aim to test 100% of the wastewater from our suppliers’ facilities against potentially toxic substances by 2025</t>
  </si>
  <si>
    <t>facilities tested</t>
  </si>
  <si>
    <t>p 18 (30 on page)</t>
  </si>
  <si>
    <t>Our goal is to replace 100% of polyester and polyamide with recycled materials or biodegradable alternatives by 2030</t>
  </si>
  <si>
    <t xml:space="preserve">polyester and polyamide replaced with recycled or biodegradable alternatives </t>
  </si>
  <si>
    <t>p 15 (24 on page)</t>
  </si>
  <si>
    <t>Our goal is the ultimate elimination of potentially hazardous chemicals throughout the supply chain, not just in the finished product, by 2030.</t>
  </si>
  <si>
    <t>hazardous chemicals use across the supply chain</t>
  </si>
  <si>
    <t>46.2% emissions reduction by 2030. Based Targets Initiative. Reduced emissions refer to Scope 1&amp;2 and Scope 3 limited to the “Purchased Goods and Services” and “Transportation and Upstream Distribution” categories, taking 2019 as the base year for the inventory and for future emissions monitoring.</t>
  </si>
  <si>
    <t>p 7, 84</t>
  </si>
  <si>
    <t>increased use of low-emission materials by up to 90% by 2030</t>
  </si>
  <si>
    <t>low-emission materials</t>
  </si>
  <si>
    <t>p 95 (186 on page)</t>
  </si>
  <si>
    <t>support of the supply chain in decarbonisation programmes to reach a target of 100% renewable electricity by 2040</t>
  </si>
  <si>
    <t>renewable energy use across the supply chain</t>
  </si>
  <si>
    <t>complete elimination of the use of coal-fired boilers, which currently account for 1.2% of our supply chain emissions) by 2030</t>
  </si>
  <si>
    <t>coal-fired boilers used in supply chain</t>
  </si>
  <si>
    <t>emissions in supply chain caused by coal-fired boilers</t>
  </si>
  <si>
    <t>19,2% reduction in Scope 3 carbon intensity relative to consolidated revenues by 2026 (Scope 3)</t>
  </si>
  <si>
    <t>Scope 3 carbon intensity</t>
  </si>
  <si>
    <t>p 94</t>
  </si>
  <si>
    <t>65% of materials with reduced impact and traceable by 2026 (Scope 3)</t>
  </si>
  <si>
    <t>low impact and traceable materials</t>
  </si>
  <si>
    <t>80% of the production volume covered by suppliers with a decarbonisation programme by 2026 (Scope 3)</t>
  </si>
  <si>
    <t>production volume covered by suppliers in decarbonisation programmes</t>
  </si>
  <si>
    <t>100% renewable electricity by 2030 (Scope 2)</t>
  </si>
  <si>
    <t xml:space="preserve">renewable energy </t>
  </si>
  <si>
    <t>40% of electricity requirements covered by photovoltaic systems by 2028 (Scope 2)</t>
  </si>
  <si>
    <t>energy requirements covered by solar power</t>
  </si>
  <si>
    <t>Prada</t>
  </si>
  <si>
    <t xml:space="preserve">Fashion Pact's B2C target: eliminate unnecessary and problematic plastics </t>
  </si>
  <si>
    <t>2023 Sustainability Report</t>
  </si>
  <si>
    <t xml:space="preserve">Fashion Pact's B2B target: eliminate unnecessary and problematic plastics </t>
  </si>
  <si>
    <t>Company car fleet: 60% green by 2022 (Scope 1)</t>
  </si>
  <si>
    <t>% of green vehicles</t>
  </si>
  <si>
    <t>p.74, As green vehicles are considered BEV (Battery Electric Vehicle), PHEV (Plug-in Hybrid Electric Vehicle), HEV (Hybrid Electric Vehicle), MEV (Micro-Electric Vehicle).</t>
  </si>
  <si>
    <t xml:space="preserve">p.74 </t>
  </si>
  <si>
    <t>2022 Prada Group's Sustainability Report</t>
  </si>
  <si>
    <t>p. 67, New goal: 70% by 2023</t>
  </si>
  <si>
    <t>Scope 1 and 2 - Reduce absolute Scope 1 and Scope 2 GHG emissions by 29.4%, by 2026 from a 2019 base year</t>
  </si>
  <si>
    <t>(p. 124) Scope 2 - Emissions related to purchased electricity are calculated using two different approaches: Market based (19668,45) or Location based (33270,96).</t>
  </si>
  <si>
    <t>Scope 1 and 2 GHG emissions (in tons CO2e), baseline</t>
  </si>
  <si>
    <t>Exclusion of Marchesi 1824 Srl from emissions calculations. Luna Rossa Challenge is not included in the scope of the inventory as it was acquired in 2021. (p.124)</t>
  </si>
  <si>
    <t>Scope 1 and 2 GHG emissions (in tons CO2e)</t>
  </si>
  <si>
    <t>Prada Group's Sustainability Report 2024</t>
  </si>
  <si>
    <t>p.158, Target achieved in 2022 if the "Market based" value is considered</t>
  </si>
  <si>
    <t>-60% natural gas consumption in industrial facilities (m3) (Scope 1)</t>
  </si>
  <si>
    <t>m3</t>
  </si>
  <si>
    <t>p70</t>
  </si>
  <si>
    <t>p.78</t>
  </si>
  <si>
    <t>p.72</t>
  </si>
  <si>
    <t>Scope 3 - Reduce absolute Scope 3 Greenhouse Gas emissions by 42%, by 2029 from a 2019 base year.</t>
  </si>
  <si>
    <t>p.71</t>
  </si>
  <si>
    <t>Scope 3 GHG emissions (in tons CO2e), baseline</t>
  </si>
  <si>
    <t>p.70</t>
  </si>
  <si>
    <t>Scope 3 GHG emissions (in tons CO2e)</t>
  </si>
  <si>
    <t>p.159</t>
  </si>
  <si>
    <t>double the self-produced energy from owned photovoltaic systems by 2026 from the 2019 base year</t>
  </si>
  <si>
    <t>kWh</t>
  </si>
  <si>
    <t>pp.75-76</t>
  </si>
  <si>
    <t>self-produced energy from owned photovoltaic systems</t>
  </si>
  <si>
    <t>Electricity Produced from Owned Photovoltaic Systems</t>
  </si>
  <si>
    <t>p.76</t>
  </si>
  <si>
    <t>Company car fleet: 70% green by 2023 (Scope 1)</t>
  </si>
  <si>
    <t>p. 67</t>
  </si>
  <si>
    <t>p. 78</t>
  </si>
  <si>
    <t>urban reforestation project that aims to plant 3 milliontrees in and around Milan by 2030</t>
  </si>
  <si>
    <t>3 million</t>
  </si>
  <si>
    <t>trees</t>
  </si>
  <si>
    <t>p.114</t>
  </si>
  <si>
    <t>Company car fleet: 95% green by 2022 (Scope 1)</t>
  </si>
  <si>
    <t>p. 70</t>
  </si>
  <si>
    <t>Leather Purchased LWG certified/audited tanneries; ICEC certified</t>
  </si>
  <si>
    <t>Nylon and Polyester: Recycled; Bio-based</t>
  </si>
  <si>
    <t>Cotton: Recycled (GRS); Organic agriculture; (GOTS, OCS 100); From regenerative agriculture; BCI</t>
  </si>
  <si>
    <t>Viscose: FSC; Recycled</t>
  </si>
  <si>
    <t>Plastic on total packaging &lt;10%</t>
  </si>
  <si>
    <t>p.99</t>
  </si>
  <si>
    <t>Recycled content in plastic packaging</t>
  </si>
  <si>
    <t>Fashion Pact's B2C target: half of all plastic packaging contains 100% recycled content</t>
  </si>
  <si>
    <t>p.98</t>
  </si>
  <si>
    <t xml:space="preserve">B2C packaging made from 100% recycled plastic </t>
  </si>
  <si>
    <t>Fashion Pact's B2B target: half of all plastic packaging contains 100% recycled content</t>
  </si>
  <si>
    <t xml:space="preserve">B2B packaging made from 100% recycled plastic </t>
  </si>
  <si>
    <t>Recycled and/or certified paper and cardboard</t>
  </si>
  <si>
    <t>p.100</t>
  </si>
  <si>
    <t>p.92</t>
  </si>
  <si>
    <t>full compliance with the ZDHC MRSL for its key suppliers by the end of 2026</t>
  </si>
  <si>
    <t>p.95</t>
  </si>
  <si>
    <t>&gt;75% waste diverted from disposal</t>
  </si>
  <si>
    <t>p.109, (including energy recivery only in 2019)</t>
  </si>
  <si>
    <t>p.109</t>
  </si>
  <si>
    <t>&gt;95% Textile fiber waste sent to recycling</t>
  </si>
  <si>
    <t>p.110</t>
  </si>
  <si>
    <t>Textile fiber waste diverted from disposal</t>
  </si>
  <si>
    <t>90% electricity purchased from the grid covered by GOs and I-REC</t>
  </si>
  <si>
    <t>cover 20% of Group industrial electricity consumption with its own photovoltaic plants by 2026</t>
  </si>
  <si>
    <t>Self-produced renewable electricity in industrial facilities</t>
  </si>
  <si>
    <t>all key materials are 100% traceable by 2026 at least to slaughterhouse or killing facility</t>
  </si>
  <si>
    <t>THE PRADA GROUP’S ANIMAL WELFARE POLICY</t>
  </si>
  <si>
    <t>p.3</t>
  </si>
  <si>
    <t>phase out of the use of 11 priority chemicla groups from the supply chain by 2020</t>
  </si>
  <si>
    <t>Detox commitment performance report 2015</t>
  </si>
  <si>
    <t>Set in conjunction with Greenpeace as part of Detox initiative. Eleven chemical groups have been prioritised for phase out from supply chain:
1. Alkylphenols
2. Phthalates
3. Brominated and chlorinated flame retardants
4. Azo dyes
5. Organotin compounds
6. Perfluorinated chemicals
7. Chlorobenzenes
8. Chlorinated solvents
9. Chlorophenols
10. Short chain chlorinated paraffins
11. Heavy metals</t>
  </si>
  <si>
    <r>
      <rPr>
        <color rgb="FF1155CC"/>
        <u/>
      </rPr>
      <t>Here's a copy of the restricted substances list as of December 2014, from the Wayback Machine.</t>
    </r>
    <r>
      <rPr/>
      <t xml:space="preserve"> Set in conjunction with Greenpeace as part of Detox initiative. Worked with Bureau Veritaas; published a restricted substances list in English and Chinese in September 2014, and notified all suppliers of the new requirements. In 2017, reported that 70% of suppliers had committed to chemical commitment, 100% had designated a chemical manager adn 5% maintaining and sumitting a chemical inventory list for Primark. However, note 2018 report states: "All chemicals covered by the Greenpeace commitment are considered for inclusion through the ZDHC MRSL conformance process." Considered is not the same as included!</t>
    </r>
  </si>
  <si>
    <t>Ensure only PFC-free formulations are used within our production</t>
  </si>
  <si>
    <t>Set in conjunction with Greenpeace as part of Detox initiative</t>
  </si>
  <si>
    <t>PFCs banned from supply chain in 2015, compliance monitoring (of finished products in particular) ongoing - 100% compliance 2018 and 2019.</t>
  </si>
  <si>
    <t>Primark Chemical Management Programme: Statement on Progress and Roadmap 2015/2016</t>
  </si>
  <si>
    <t>Set in conjunction with Greenpeace as part of Detox initiative. All PFCs (short and long chain) eliminated from December 2015, according to 2016 sustainability report. "We have actively manage product in delivery to ensure this ban is rigorously enforced...We have issued and reinforced communications on this specific ban, conducted targeted investigations and screened for compliance in key product areas." The report also states that failures are considered a breach of supplier terms and managed accordingly, and publishing case studies on these findings is not supported. Some non-compliance examples listed in 2017 report. 2018 report cited 100% pass rate for PFC testing on finished products.</t>
  </si>
  <si>
    <t>Strengthen our supplier contract language to ensure only APEO and phthalate-free formulations are used within our production</t>
  </si>
  <si>
    <t>Detox commitment performance report 2015/2026</t>
  </si>
  <si>
    <t>15% reduction in carbon footprint of clothing placed on market in UK by SCAP retailers and brands measured per tonne of garment sales</t>
  </si>
  <si>
    <r>
      <rPr>
        <color rgb="FF1155CC"/>
        <u/>
      </rPr>
      <t>Edie news report</t>
    </r>
    <r>
      <rPr/>
      <t xml:space="preserve"> and Primark Environmental Sustainability Performance Report 2019</t>
    </r>
  </si>
  <si>
    <t>-15.9%</t>
  </si>
  <si>
    <t>Primark Environmental Sustainability Performance Report 2020</t>
  </si>
  <si>
    <t>Figure for goal year of 2020 not reported in any sustainability reports; WRAP contacted for comment but have not responded.</t>
  </si>
  <si>
    <t>15% reduction in water footprint of clothing placed on market in UK measured per tonne of garment sales</t>
  </si>
  <si>
    <r>
      <rPr>
        <color rgb="FF1155CC"/>
        <u/>
      </rPr>
      <t>Edie news report</t>
    </r>
    <r>
      <rPr/>
      <t xml:space="preserve"> and Primark Environmental Sustainability Performance Report 2019</t>
    </r>
  </si>
  <si>
    <t>-19.5%</t>
  </si>
  <si>
    <t>3.5% reduction in waste arising over the product life cycle</t>
  </si>
  <si>
    <r>
      <rPr>
        <color rgb="FF1155CC"/>
        <u/>
      </rPr>
      <t>Edie news report</t>
    </r>
    <r>
      <rPr/>
      <t xml:space="preserve"> and Primark Environmental Sustainability Performance Report 2019</t>
    </r>
  </si>
  <si>
    <t>-2.3%</t>
  </si>
  <si>
    <t>15% reduction in clothing waste going to landfill and incineration (energy from waste) in the UK.</t>
  </si>
  <si>
    <r>
      <rPr>
        <color rgb="FF1155CC"/>
        <u/>
      </rPr>
      <t>Edie news report</t>
    </r>
    <r>
      <rPr/>
      <t xml:space="preserve"> and Primark Environmental Sustainability Performance Report 2019</t>
    </r>
  </si>
  <si>
    <t>Gap to target here is so wide we could safely assume it wasn't met, but I've marked as unclear. No progress from 2018-2019. Figure for goal year of 2020 not reported in any sustainability reports; WRAP contacted for comment but have not responded.</t>
  </si>
  <si>
    <t xml:space="preserve">Our Textile Tackback donation programme was launched in 2020 and is currently available in 10 of our markets which represents 87% of global store count. With the help of recycling partner Yellow Octopus Circular Solutions, we offer customers and colleagues a convenient way to donate unwanted clothing or textiles and give items a second life. If textiles or clothes put into the takeback boxes can’t be reused or resold they will be recycled. The next markets to launch in 2026 are USA and Romania. Due to local regulation issues, we have paused further expansion beyond this currently. </t>
  </si>
  <si>
    <t>Global in-store product take-back scheme</t>
  </si>
  <si>
    <t>Primark Environmental Performance Report 2024</t>
  </si>
  <si>
    <t>p. 43: "We plan to expand the scheme to all stores across all markets by the end of 2025, in line with local regulations." Started as a pilot in 2016 with six stores, struggled in 2017 "due to ongoing uncertainty around textile waste collection licenses". company confirmed on request that global rollout will not be achieved by 2026</t>
  </si>
  <si>
    <t>0 stores</t>
  </si>
  <si>
    <t>64% of stores internationally</t>
  </si>
  <si>
    <t>Primark Sustainability and Ethics Progress Report 2024</t>
  </si>
  <si>
    <t>Textile takeback (cumulative figure as of July 2024): 638 tonnes; 31% of items were recycled or repurposed; 69% of items were suitable for resale</t>
  </si>
  <si>
    <t>Response in November 2025: "All our stores and distribution centres are now certified to ISO 50001, the globally recognised standard for energy management systems."</t>
  </si>
  <si>
    <t>achieve ISO 50001 energy management accreditation for all stores, offices and distrubtion centres including in emerging European markets and US</t>
  </si>
  <si>
    <t>Primark Environmental Sustainability Performance Report 2019</t>
  </si>
  <si>
    <t>no mention in 2020</t>
  </si>
  <si>
    <t>achieve ISO 50001 energy management accreditation for for all stores, offices and distrubtion centres throughout Europe</t>
  </si>
  <si>
    <t>achieved ISO 50001 in relevant facilities</t>
  </si>
  <si>
    <t>train 160,000 farmers through sustainable cotton programme by 2022</t>
  </si>
  <si>
    <t>252,800 farmers trained in Primark Sustainable Cotton Programme</t>
  </si>
  <si>
    <t>Primark Sustainability and Ethics Report 2022/23</t>
  </si>
  <si>
    <t>30% aggregate GHG emission reductions in scope 1, 2 and 3 of the GHG Protocol Corporate Standard by 2030 against a baseline of no earlier than 2015</t>
  </si>
  <si>
    <t>UN Fashion Charter initiative; towards it, Primark commissioned Carbon Trust to provide advice on measuring scope 3 emissions.</t>
  </si>
  <si>
    <t>"no earlier than 2015"</t>
  </si>
  <si>
    <t>our clothes will be recyclable by design by 2027</t>
  </si>
  <si>
    <t>Primark Cares / Primark Sustainability and Ethics Report 2022 / Primark Circular Product Standard</t>
  </si>
  <si>
    <t>Details of what this may mean on p21 of 2022 sustainability report</t>
  </si>
  <si>
    <t>3% met its own Circular Product Standard</t>
  </si>
  <si>
    <t>Primark Sustainability and Ethics Progress Report 2024.</t>
  </si>
  <si>
    <t>In key categories where many products are made using cotton, such as t-shirts and denim, 11% of all t-shirt and 5% all of denim sales meet our circularity criteria, respectively.</t>
  </si>
  <si>
    <t>all our clothes will be made from recycled or more sustainably sourced materials by 2030</t>
  </si>
  <si>
    <t>Primark Cares / Primark Sustainability and Ethics Report 2021/22</t>
  </si>
  <si>
    <t>It is not clear whether this commits to 100% of the material being recycled/sustainable or just the garment containing some recycled polyester/sustainable cotton etc. It is also not clear that recycled polyester is necessarily good for the environment. Details of the materials on p23 of 2022 sustainability report.</t>
  </si>
  <si>
    <t>Audited by EY. As of 2022 45% of clothing units sold met this criteria, an increase from 25% at the launch of Primark Cares, according to 2022 report. As of 2023 55% of our clothing units sold contained recycled or more sustainably sourced materials. 55% by 2023. As of 2024 57% of the cotton clothes contained cotton that is organic, recycled or from Primark Cotton Project, up from 46% in 2023.</t>
  </si>
  <si>
    <t>we will halve carbon emissions across our value chain by 2030</t>
  </si>
  <si>
    <t>Primark Cares / Primark Sustainability and Ethics Report 2022</t>
  </si>
  <si>
    <t>appears to supersede UN Fashion Charter commitment. includes scope 1, 2 and 3 emissions</t>
  </si>
  <si>
    <t>2018/2019 FY</t>
  </si>
  <si>
    <t>6.4 million tCO2e</t>
  </si>
  <si>
    <t>Primark Sustainability and Ethics Report 2022</t>
  </si>
  <si>
    <t xml:space="preserve">Carbon Trust gave advice on establishing baseline. 88% of emissions are in supply chain. </t>
  </si>
  <si>
    <t>-1.9%</t>
  </si>
  <si>
    <t>down 11.6% YoY but because emissions had increased for a couple of years, down just 1.9% on baseline. Details on p45-46 of report.</t>
  </si>
  <si>
    <t>We will eliminate all single-use plastic from our business." Updated in 2022 to: we will eliminate single-use plastics and all our non-clothing waste by 2027.</t>
  </si>
  <si>
    <t>Primark Environmental Sustainability Performance Report 2020;  Primark Sustainability and Ethics Report 2022</t>
  </si>
  <si>
    <t>21,797 tonnes single use plastic in 2022</t>
  </si>
  <si>
    <t>Clothes hangers account for around 65% of total SUP volumes used in Primark.</t>
  </si>
  <si>
    <t>In FY2019/20 Primark removed: around 175m units of plastic which includes hangers (27.5m), hooks (61.9m), backing cards (64.7m), barbs (16.6m) and packaging (4.4m). In FY2019/20 Primark removed 86 million single-use labels and stickers from products. 2022 report contains details of changes to e.g. cardboard hangers for some products.</t>
  </si>
  <si>
    <t>expand Sustainable Cotton Programme to 275,000 farmers by 2023</t>
  </si>
  <si>
    <t>299,388 by July 2023</t>
  </si>
  <si>
    <t>p.15, 90% are smallholders and 80% are women; 26% reduction in use of pesticides and 35% reduction in chemical fertilsers among PSCP farmers by comparison with control group in same region 2019-2022</t>
  </si>
  <si>
    <t>Puma</t>
  </si>
  <si>
    <t>Massive reduction of PVC application by spring/summer 2003 with the aim of a complete PVC ban</t>
  </si>
  <si>
    <t>Product-related Environmental &amp; Social Report 2000</t>
  </si>
  <si>
    <t>Application of PVC in various product areas</t>
  </si>
  <si>
    <t>Same pledge appears in 2003 report, with 2001 as baseline year instead of 2000</t>
  </si>
  <si>
    <t>100 % of our products PVC-Free</t>
  </si>
  <si>
    <t>% PVC-free products</t>
  </si>
  <si>
    <t>Sustainability Report 2004</t>
  </si>
  <si>
    <t>Product sustainability advanced from early preferred materials to 9 out of 10 products made with certified or recycled materials by 2024, supported by circularity initiatives. We have reinforced our 2030 targets to align with EU regulations on product design.</t>
  </si>
  <si>
    <t>50% more sustainable products</t>
  </si>
  <si>
    <t>Sustainability report 2010</t>
  </si>
  <si>
    <t>p32, Wasn't this a goal in 2008 already?</t>
  </si>
  <si>
    <t>Business and Sustainability Report 2012</t>
  </si>
  <si>
    <t>Now, on average nine out of ten PUMA products are made with certified or recycled materials, as defined by our PUMA S-Index.</t>
  </si>
  <si>
    <t>Business and Sustainability Report 2024</t>
  </si>
  <si>
    <t>p3. Achieved nine years later than expected</t>
  </si>
  <si>
    <t>100% more sustainable packaging</t>
  </si>
  <si>
    <t>100% sustainable packaging for a few products Clever Little Bag (Footwear), Clever Little Hanger (Accessories) introduced</t>
  </si>
  <si>
    <t>Business and Sustainability Report 2013</t>
  </si>
  <si>
    <t>No mention to achievement or failure in the goal year (2015) report</t>
  </si>
  <si>
    <t>25% reduction of CO2 in PUMA offices, stores, warehouses and direct supplier factories</t>
  </si>
  <si>
    <t>p31, unclear whether absolute or relative</t>
  </si>
  <si>
    <t>Total, (old CO2 emission factor)</t>
  </si>
  <si>
    <t>p49, both absolute and relative reductions fail target</t>
  </si>
  <si>
    <t>25% reduction of waste in PUMA offices, stores, warehouses and direct supplier factories</t>
  </si>
  <si>
    <t>Sustainability Report 2007/2008</t>
  </si>
  <si>
    <t>Waste (kg)</t>
  </si>
  <si>
    <t>% reduction in t</t>
  </si>
  <si>
    <t>p49 relative target failed, absolute achieved</t>
  </si>
  <si>
    <t>25% reduction of energy in PUMA offices, stores, warehouses and direct supplier factories</t>
  </si>
  <si>
    <t>% reduction in kwh / employee</t>
  </si>
  <si>
    <t>p31, p53 states this is relative to FTE</t>
  </si>
  <si>
    <t>Energy consumption (kWh)</t>
  </si>
  <si>
    <t>Business and Sustainability Report 2015</t>
  </si>
  <si>
    <t>25% reduction of water in PUMA offices, stores, warehouses and direct supplier factories</t>
  </si>
  <si>
    <t>Water (m³). Absolute savings</t>
  </si>
  <si>
    <t>% reduction in m3/employee</t>
  </si>
  <si>
    <t>Paperless office policy aiming for a 75% reduction in paper usage, with an offsetting initiative compensating for the remaining paper usage, for example tree planting initiatives</t>
  </si>
  <si>
    <t>% reduction in paper usage</t>
  </si>
  <si>
    <t>p31</t>
  </si>
  <si>
    <t>Paper consumption from our own entities (excluding product packaging) could be reduced significantly over the last five years.</t>
  </si>
  <si>
    <t>% reduction in kg/ employee</t>
  </si>
  <si>
    <t>p 51 goal wrongly stated as 25%: "...we achieved our 25% reduction target."</t>
  </si>
  <si>
    <t>by 2017 plans to phase out the entire use of PFCs.</t>
  </si>
  <si>
    <t>Business and Sustainability Report 2014</t>
  </si>
  <si>
    <t>Annual Report 2017 Sustainability</t>
  </si>
  <si>
    <t>p13 "The remaining 1% consist of exceptional cases where the oil-repellent properties of PFCs are still required, for example for the outfits supplied to our Formula One teams."</t>
  </si>
  <si>
    <t>Hazardous chemicals were eliminated by 2017, and wastewater compliance reached over 90% since 2021.</t>
  </si>
  <si>
    <t>Zero Discharge of Hazardous Chemicals from our Supply Chain by 2020</t>
  </si>
  <si>
    <t>No mention to achievement or failure in the goal year (2020) report</t>
  </si>
  <si>
    <t>Industry Good Practice for consumption and effluent treatment) is met by 90% of PUMA key suppliers with wet processing facilities</t>
  </si>
  <si>
    <t>Business and Sustainability Report 2020</t>
  </si>
  <si>
    <t>p57, "all our core suppliers now are 90% in ompliance with the ZDHC Wastewater Guidelines (foundational level)."</t>
  </si>
  <si>
    <t>we have decided to set an interim reduction target of 3% (in line with the corresponding science-based target option) for direct CO2 emissions, indirect emissions from electricity and district heating as well as indirect emissions from manufacturing and transportation of goods for 2016.</t>
  </si>
  <si>
    <t>% reduction in tons CO2 per € million turnover per year</t>
  </si>
  <si>
    <t>Business and Sustainability Report 2016</t>
  </si>
  <si>
    <t>3% interim reduction target</t>
  </si>
  <si>
    <t>SRI 2017</t>
  </si>
  <si>
    <t>p11</t>
  </si>
  <si>
    <t>Reduce the percentage of RSL (Restricted Substances List tests) failures to below 3%</t>
  </si>
  <si>
    <t>Part of the Zero Discharge of HC target</t>
  </si>
  <si>
    <t>RSL Test Results Recorded in the PUMA RSL Database</t>
  </si>
  <si>
    <t>about 4%</t>
  </si>
  <si>
    <t>failure rate</t>
  </si>
  <si>
    <t>It was a KPI in 2016, became a goal in 2017, after achivement</t>
  </si>
  <si>
    <t>% RSL failures</t>
  </si>
  <si>
    <t>p53</t>
  </si>
  <si>
    <t>Industry best practice for air pollution is met by 90% of PUMA core suppliers.</t>
  </si>
  <si>
    <t>p13. "(Best practice for air still to be defined)"</t>
  </si>
  <si>
    <t>p72 "This leaves us with only the air quality target open from the previous target period"</t>
  </si>
  <si>
    <t>In the interim, PUMA established an internal target of 3%
reduction
relative to sales.</t>
  </si>
  <si>
    <t>Business and Sustainability Report 2018</t>
  </si>
  <si>
    <t>In summary, 2018 saw a 5.3% combined reduction of tons of CO2 per million euros of turnover per year over the year prior.</t>
  </si>
  <si>
    <t>Regarding our energy use, we achieved 100% renewable electricity for our own operations by 2020 and exceeded our 2025 supplier renewable energy target in 2024.</t>
  </si>
  <si>
    <t>Move 100% of PUMA’s own entities to renewable electricity</t>
  </si>
  <si>
    <t>Business and Sustainability Report 2023</t>
  </si>
  <si>
    <t>We continue to source 100% renewable electricity for our own entities and have started the transition of our car fleet to electric cars at scale.</t>
  </si>
  <si>
    <t>Business and Sustainability Report 2022</t>
  </si>
  <si>
    <t>Expand the use of renewable energy at PUMA’s core suppliers to 25%</t>
  </si>
  <si>
    <t>100% of all PUMA products are safe to use</t>
  </si>
  <si>
    <t>Business and Sustainability Report 2025</t>
  </si>
  <si>
    <t>Reduce RSL failures to below 1%</t>
  </si>
  <si>
    <t>Business and Sustainability Report 2026</t>
  </si>
  <si>
    <t>Volatile organic compounds (VOCs) emissions in footwear production dropped from 25 g/pair in 2015 to 11.5 g/pair in 2024, with a target below 10 g/pair by 2025. Broader air emission compliance was extended to 2030 due to new guidelines from industry organization ZDHC.</t>
  </si>
  <si>
    <t>Reduce organic solvent usage under 10 gr/pair</t>
  </si>
  <si>
    <t>Business and Sustainability Report 2027</t>
  </si>
  <si>
    <t>Reduce water consumption at PUMA core suppliers per pair or piece by 15% (based on 2020 baseline)</t>
  </si>
  <si>
    <t>Business and Sustainability Report 2037</t>
  </si>
  <si>
    <t>Eliminate plastic bags from PUMA stores and review the impact of hangers and fixtures</t>
  </si>
  <si>
    <t>Business and Sustainability Report 2033</t>
  </si>
  <si>
    <t>Plastic shopping bags (stores, tons)</t>
  </si>
  <si>
    <t>tons</t>
  </si>
  <si>
    <t>Set up or join product takeback schemes in major markets</t>
  </si>
  <si>
    <t>Business and Sustainability Report 2021</t>
  </si>
  <si>
    <t>Reduce production waste to landfills by at least 50% (shared target)</t>
  </si>
  <si>
    <t>Business and Sustainability Report 2034</t>
  </si>
  <si>
    <t>Develop recycled materials as alternatives to leather, rubber, cotton, and polyurethane (shared targets)</t>
  </si>
  <si>
    <t>Business and Sustainability Report 2029</t>
  </si>
  <si>
    <t>90% of PUMA apparel and accessories products contain &gt;50% more sustainable materials</t>
  </si>
  <si>
    <t>Business and Sustainability Report 2030</t>
  </si>
  <si>
    <t xml:space="preserve">Apparel with at least 50% more sustainable material;
Accessories with at least 50% more sustainable material
</t>
  </si>
  <si>
    <t>Apparel: 81%; Accessories: 47%</t>
  </si>
  <si>
    <t>90% of our footwear contains at least one more sustainable component</t>
  </si>
  <si>
    <t>Business and Sustainability Report 2031</t>
  </si>
  <si>
    <t>Footwear with at least one more sustainable component</t>
  </si>
  <si>
    <t>Increase use of recycled polyester (apparel and accessories) to 75% by 2025 (shared target)</t>
  </si>
  <si>
    <t>Business and Sustainability Report 2032</t>
  </si>
  <si>
    <t>cotton, leather</t>
  </si>
  <si>
    <t>100% of cotton, leather, and down procured from certified sources (shared target)</t>
  </si>
  <si>
    <t>Business and Sustainability Report 2028</t>
  </si>
  <si>
    <t>&gt;98%</t>
  </si>
  <si>
    <t>Reduce greenhouse gas emissions from PUMA’s own entities (Scope 1 and 2) by 35% compared to the 2017 baseline (absolute reduction)</t>
  </si>
  <si>
    <t>Business and Sustainability Report 2038</t>
  </si>
  <si>
    <t>Reduce emissions from PUMA’s supply chain (Scope 3: purchased goods and services) by 60% relative to sales</t>
  </si>
  <si>
    <t>Business and Sustainability Report 2039</t>
  </si>
  <si>
    <t>reduce by 42% absolute GHG emissions from Scope 1 and Scope 2 by 2029 compared to 2019</t>
  </si>
  <si>
    <t>Annual report Ferragamo 2020</t>
  </si>
  <si>
    <t>p 153</t>
  </si>
  <si>
    <t>14576 (1308 Scope 1 + 13268 Scope 2)</t>
  </si>
  <si>
    <t>-42% Scope 1 and 2 emissions</t>
  </si>
  <si>
    <t>16007 (+10%)</t>
  </si>
  <si>
    <t>p 168</t>
  </si>
  <si>
    <t>Company clarification: pledge achieved</t>
  </si>
  <si>
    <t>reduce by 42% absolute GHG emissions from Scope 3 deriving from the purchase of goods and services and from the downstream transport and distribution by 2029 compared to 2019</t>
  </si>
  <si>
    <t>239580 (198339 from purchase of goods and services + 41241 from logistics)</t>
  </si>
  <si>
    <t>-42% Scope 3 emissions</t>
  </si>
  <si>
    <t>130815 (-45%)</t>
  </si>
  <si>
    <t>2025: 25% of low environmental impact key raw materials</t>
  </si>
  <si>
    <t>raw materials with low environmental impact</t>
  </si>
  <si>
    <t>p 145</t>
  </si>
  <si>
    <t>2030: 100% renewable energy across all operations</t>
  </si>
  <si>
    <t>renewable energy used</t>
  </si>
  <si>
    <t>unnecessary plastics in B2C packaging</t>
  </si>
  <si>
    <t>no data in recent reports</t>
  </si>
  <si>
    <t>Elimination of problematic and unnecessary plastics in B2B [packaging] by 2030</t>
  </si>
  <si>
    <t>unnecessary plastics in B2B packaging</t>
  </si>
  <si>
    <t>Ensure that at least half of all plastic packaging is made from 100% recycled material by 2025 for B2C</t>
  </si>
  <si>
    <t>recycled plastic in B2C packaging</t>
  </si>
  <si>
    <t>Ensure that at least half of all plastic packaging is made from 100% recycled material by 2030 for B2B</t>
  </si>
  <si>
    <t>recycled plastic in B2B packaging</t>
  </si>
  <si>
    <t>Achieving Net Zero by 2050</t>
  </si>
  <si>
    <t>Annual report Ferragamo 2023</t>
  </si>
  <si>
    <t>p 119</t>
  </si>
  <si>
    <t>install building management systems in 100 stores worldwide by 2025</t>
  </si>
  <si>
    <t>energy efficient stores</t>
  </si>
  <si>
    <t>p 162</t>
  </si>
  <si>
    <t>Elimination of single-use virgin plastic from packaging</t>
  </si>
  <si>
    <t>single-use virgin plastic in packaging</t>
  </si>
  <si>
    <t>p 120</t>
  </si>
  <si>
    <t>100% paper packaging FSC/PEFC certified</t>
  </si>
  <si>
    <t>certified paper packaging</t>
  </si>
  <si>
    <t>p 179</t>
  </si>
  <si>
    <t>100% certfied paper used in packaging</t>
  </si>
  <si>
    <t>certfied paper used in packaging</t>
  </si>
  <si>
    <t>p 178</t>
  </si>
  <si>
    <t>reduce energy use in offices by 25% compared to 2005/2006</t>
  </si>
  <si>
    <t>kwh / employee</t>
  </si>
  <si>
    <t>p 88, absolute target around 3800 kw/employee</t>
  </si>
  <si>
    <t>2005/2006</t>
  </si>
  <si>
    <t>reduce water use in offices by 25% compared to 2005/2006</t>
  </si>
  <si>
    <t>m³ / employee</t>
  </si>
  <si>
    <t>p 88, absolute target around 9.5 m3 /employee</t>
  </si>
  <si>
    <t>p 48</t>
  </si>
  <si>
    <t>reduce waste production in offices by 25% compared to 2005/2006</t>
  </si>
  <si>
    <t>t / employee</t>
  </si>
  <si>
    <t>p 88, absolute target around 0,39 t employee</t>
  </si>
  <si>
    <t>More sustainable alternatives used for our key materials cotton</t>
  </si>
  <si>
    <t>BCI certified cotton</t>
  </si>
  <si>
    <t>SRI 2016</t>
  </si>
  <si>
    <t>p45</t>
  </si>
  <si>
    <t>More sustainable alternatives used for our key materials leather</t>
  </si>
  <si>
    <t>LWG certified leather</t>
  </si>
  <si>
    <t>LWG Medal Rated leather/recycled leather</t>
  </si>
  <si>
    <t>Business and Sustainability Report 2017</t>
  </si>
  <si>
    <t>More sustainable alternatives used for our key materials polyester</t>
  </si>
  <si>
    <t>Bluesign certified polyester</t>
  </si>
  <si>
    <t>More sustainable alternatives used for our key materials paper</t>
  </si>
  <si>
    <t>FSC certified paper / cardboard</t>
  </si>
  <si>
    <t>Business and Sustainability Report 2019</t>
  </si>
  <si>
    <t>p64, rest recycled but that wasn't the target</t>
  </si>
  <si>
    <t>SRI 2018</t>
  </si>
  <si>
    <t>p64, others OEKOTEX, but thats not the target</t>
  </si>
  <si>
    <t>More sustainable alternatives used for our key materials down</t>
  </si>
  <si>
    <t>Responsible Down (RDS)</t>
  </si>
  <si>
    <t>Cotton: Organic agriculture (GOTS, OCS 100)</t>
  </si>
  <si>
    <t>Recycle 100% of the Group’s scraps from French textile manufacturers by 2025</t>
  </si>
  <si>
    <t>p73</t>
  </si>
  <si>
    <t xml:space="preserve">Industry good practice for effluent treatment is met by 90% of core PUMA suppliers with wet-processing facilities </t>
  </si>
  <si>
    <t>Business and Sustainability Report 2035</t>
  </si>
  <si>
    <t>Industry good practice for air emissions is met by 90% of core PUMA suppliers with significant emissions</t>
  </si>
  <si>
    <t>Business and Sustainability Report 2036</t>
  </si>
  <si>
    <t>Documents checked for each company</t>
  </si>
  <si>
    <t>Company name</t>
  </si>
  <si>
    <t>Document type</t>
  </si>
  <si>
    <t>Year</t>
  </si>
  <si>
    <t>Link</t>
  </si>
  <si>
    <t>Status</t>
  </si>
  <si>
    <t>Notes</t>
  </si>
  <si>
    <t>Social and Environmental report</t>
  </si>
  <si>
    <t>Adidas Sustainability Reports</t>
  </si>
  <si>
    <t>Checked, pledges found</t>
  </si>
  <si>
    <t>Annual report</t>
  </si>
  <si>
    <t>https://www.adidas-group.com/en/investors/financial-reports?tag=2024</t>
  </si>
  <si>
    <t>Checked, no pledges found</t>
  </si>
  <si>
    <t>points to "Social and Environmental report"</t>
  </si>
  <si>
    <t>data: manufacturing volume by product category in unit, # of factories and workers per country, of which audited</t>
  </si>
  <si>
    <t>data: manufacturing volume by product category in unit, # of factories and workers per country, of which audited. "Social and Environmental Affairs" team is 33 people. "We want to secure more sustainable cotton sources, but based on feedback from several stakeholder dialogues we recognise that the use of certified organic cotton is still problematic. Certified organic cotton is both more difficult to source and more expensive. Moreover it does not address the most critical environmental impact of cotton farming – excessive water consumption"</t>
  </si>
  <si>
    <t>https://www.adidas-group.com/en/investors/financial-reports?tag=2027</t>
  </si>
  <si>
    <t>https://www.adidas-group.com/en/investors/financial-reports?tag=2030</t>
  </si>
  <si>
    <t>Green Company Report</t>
  </si>
  <si>
    <t>Green Company Reports - adidas Group</t>
  </si>
  <si>
    <t>https://www.adidas-group.com/en/investors/financial-reports?tag=2032</t>
  </si>
  <si>
    <t>https://www.adidas-group.com/en/investors/financial-reports?tag=2033</t>
  </si>
  <si>
    <t>https://www.adidas-group.com/en/investors/financial-reports?tag=2042</t>
  </si>
  <si>
    <t>https://www.adidas-group.com/en/investors/financial-reports?tag=2038</t>
  </si>
  <si>
    <t>https://www.adidas-group.com/en/investors/financial-reports?tag=2039</t>
  </si>
  <si>
    <t>https://www.adidas-group.com/en/investors/financial-reports?tag=2040</t>
  </si>
  <si>
    <t>https://www.adidas-group.com/en/investors/financial-reports?tag=2041</t>
  </si>
  <si>
    <t>https://www.adidas-group.com/en/investors/financial-reports?tag=2043</t>
  </si>
  <si>
    <t>https://www.adidas-group.com/en/investors/financial-reports?tag=2044</t>
  </si>
  <si>
    <t>Sustainability Report</t>
  </si>
  <si>
    <t>Sustainability-Report-2018-Armani-Group-EN</t>
  </si>
  <si>
    <t>Annual financial results</t>
  </si>
  <si>
    <t>link</t>
  </si>
  <si>
    <t>Not checked</t>
  </si>
  <si>
    <t>Report to society</t>
  </si>
  <si>
    <t>"This report is a first insight into who we are and how we operate."</t>
  </si>
  <si>
    <t>Mission 1.5°C report</t>
  </si>
  <si>
    <t>Mission 1.5°C progress report</t>
  </si>
  <si>
    <t>Sustainability performance extract</t>
  </si>
  <si>
    <t>Sustainability report</t>
  </si>
  <si>
    <t>Sustainability reporting - H&amp;M Group</t>
  </si>
  <si>
    <t>"The reader of this report should see it as a first attempt to make H&amp;M’s commitment to sustainability understandable for a wide group of stakeholders. For the first time we publish our CSR vision and our objectives for the implementation of H&amp;M’s Code of Conduct in our supply chain."</t>
  </si>
  <si>
    <t>Sustainability performance report</t>
  </si>
  <si>
    <t>Annual and sustainability report 2027</t>
  </si>
  <si>
    <t>Sustainability disclosure report</t>
  </si>
  <si>
    <t>Annual and sustainability report 2026</t>
  </si>
  <si>
    <t>Annual and sustainability report 2025</t>
  </si>
  <si>
    <t>Annual and sustainability report 2024</t>
  </si>
  <si>
    <t>Sustainability progress report</t>
  </si>
  <si>
    <t>Universal registration document</t>
  </si>
  <si>
    <t>link (in French, not original source)</t>
  </si>
  <si>
    <r>
      <rPr>
        <color rgb="FF434343"/>
        <u/>
      </rPr>
      <t>link</t>
    </r>
    <r>
      <rPr>
        <color rgb="FF000000"/>
      </rPr>
      <t xml:space="preserve"> (in French, not original source)</t>
    </r>
  </si>
  <si>
    <t>link (in French)</t>
  </si>
  <si>
    <r>
      <rPr>
        <color rgb="FF1155CC"/>
        <u/>
      </rPr>
      <t>link</t>
    </r>
    <r>
      <rPr/>
      <t xml:space="preserve"> (in French)</t>
    </r>
  </si>
  <si>
    <t>Anual report</t>
  </si>
  <si>
    <t>https://www.annualreports.com/Company/inditex</t>
  </si>
  <si>
    <t>"Together with this Annual Report we will publish, for the second year running, the group’s Sustainability Report, which will reflect the work carried out in the economic, social and environmental fields"</t>
  </si>
  <si>
    <t>memoria-anual-2013.pdf</t>
  </si>
  <si>
    <t>memoria-anual-2014.pdf</t>
  </si>
  <si>
    <t>memoria-anual-2015.pdf</t>
  </si>
  <si>
    <t>*Same pledges as previous years</t>
  </si>
  <si>
    <t>memoria-anual-2016.pdf</t>
  </si>
  <si>
    <t>memoria-anual-2017.pdf</t>
  </si>
  <si>
    <t>memoria-anual-2018.pdf</t>
  </si>
  <si>
    <t>memoria-anual-2019.pdf</t>
  </si>
  <si>
    <t>memoria-anual-2020.pdf</t>
  </si>
  <si>
    <t>memoria-anual-2021.pdf</t>
  </si>
  <si>
    <t>Non- financial report 2021</t>
  </si>
  <si>
    <t>Estado de Información No Financiera 2021</t>
  </si>
  <si>
    <t>memoria-anual-2022.pdf</t>
  </si>
  <si>
    <t>memoria-anual-2023.pdf</t>
  </si>
  <si>
    <t>New Sustainability Committments</t>
  </si>
  <si>
    <t>Inditex New Sustainability Commitments.pdf</t>
  </si>
  <si>
    <t>https://www.inditex.com/itxcomweb/api/media/d2407831-0359-41b2-ba3e-654383b27ffb/Cuentasanualeseinformedegestion2024consolidado.pdf?t=1742203269059</t>
  </si>
  <si>
    <t>Annual Report</t>
  </si>
  <si>
    <t>link (not original source)</t>
  </si>
  <si>
    <t>p 22: "In 2003, L’Oréal further strengthened its commitment by appointing a Sustainable Development Director and by making its first Report on Sustainable Development available online"</t>
  </si>
  <si>
    <t>p. 35: "For more information, please consult the group’s sustainable development report, or the Internet version on our Web site: www.loreal.com."</t>
  </si>
  <si>
    <t>https://www.sustainabilityreports.com/loreal/2006/sustainable-development-report</t>
  </si>
  <si>
    <t>THE L’ORÉAL SUSTAINABILITY COMMITMENT 2013 - 2020 CLOSING REPORT</t>
  </si>
  <si>
    <t>Loréal for the future booklet</t>
  </si>
  <si>
    <t>Annual report 2001: "In 2001, the Group focused on communicating its environmental actions and initiatives. It published its first environmental report, “Naturally Creative”, which describes the policy and the concrete achievements of LVMH in this area."</t>
  </si>
  <si>
    <t>MANGO</t>
  </si>
  <si>
    <t>in report 2013: "This Sustainability Report, the Group’s tenth,...")</t>
  </si>
  <si>
    <t>https://st.mngbcn.com/web/oi/servicios/rsc/pdf/ES/mem/mem2015.pdf</t>
  </si>
  <si>
    <t>https://st.mngbcn.com/web/oi/servicios/rsc/pdf/ES/mem/mem2017.pdf</t>
  </si>
  <si>
    <t>https://www.mangofashiongroup.com/impacto-medioambiental?p_p_id=com_liferay_portal_search_web_search_results_portlet_SearchResultsPortlet&amp;p_p_lifecycle=0&amp;p_p_state=maximized&amp;p_p_mode=view&amp;_com_liferay_portal_search_web_search_results_portlet_SearchResultsPortlet_redirect=https%3A%2F%2Fwww.mangofashiongroup.com%2Fimpacto-medioambiental&amp;_com_liferay_portal_search_web_search_results_portlet_SearchResultsPortlet_mvcPath=%2Fview_content.jsp&amp;_com_liferay_portal_search_web_search_results_portlet_SearchResultsPortlet_assetEntryId=291908&amp;_com_liferay_portal_search_web_search_results_portlet_SearchResultsPortlet_type=document&amp;p_p_auth=cIt6Jzdd&amp;p_l_back_url=https%3A%2F%2Fwww.mangofashiongroup.com%2Fimpacto-medioambiental&amp;p_l_back_url_title=Impacto+medioambiental</t>
  </si>
  <si>
    <t>Annual report 2016, p. 43: "To provide a transparent account of its sustainability performance, in 2016 the Company published a Sustainability Report, for the second consecutive year"</t>
  </si>
  <si>
    <t>2020 CONSOLIDATED NON FINANCIAL STATEMENT</t>
  </si>
  <si>
    <t>2021 CONSOLIDATED NON FINANCIAL STATEMENT</t>
  </si>
  <si>
    <t>2023 CONSOLIDATED NON-FINANCIAL STATEMENT</t>
  </si>
  <si>
    <t>2024 Annual Report</t>
  </si>
  <si>
    <t>only in ITA, no ENG report available</t>
  </si>
  <si>
    <t>Animal Welfare Policy</t>
  </si>
  <si>
    <t>Information for suppliers</t>
  </si>
  <si>
    <t>Restricted Substances List</t>
  </si>
  <si>
    <t>Detox Commitment: Progress Report</t>
  </si>
  <si>
    <t>Primark Environmental Performance Report 2017</t>
  </si>
  <si>
    <t>Primark Environmental Sustainability Performance Report 2018</t>
  </si>
  <si>
    <t>NGO monitoring report (by Greenpeace)</t>
  </si>
  <si>
    <t>Self regulation: A fashion fairytale</t>
  </si>
  <si>
    <t>NGO monititoring report (by WRAP)</t>
  </si>
  <si>
    <t>SCAP 2020 final report</t>
  </si>
  <si>
    <t>Primark Sustainability and Ethics Progress Report 2022</t>
  </si>
  <si>
    <t>Primark Sustainability and Ethics Progress Report 2023</t>
  </si>
  <si>
    <t>Statement of goals</t>
  </si>
  <si>
    <t>Primark Cares Website</t>
  </si>
  <si>
    <t>Product standard</t>
  </si>
  <si>
    <t>Primark Circular Product Standard</t>
  </si>
  <si>
    <t>Standard</t>
  </si>
  <si>
    <t>Primark Durability Framework 2024</t>
  </si>
  <si>
    <t>Industry initiative</t>
  </si>
  <si>
    <t>ZDHC reports</t>
  </si>
  <si>
    <t>Greenwash Danger Zone</t>
  </si>
  <si>
    <t>Puma SE</t>
  </si>
  <si>
    <t>Environmental and Social Report</t>
  </si>
  <si>
    <t>Puma Sustainability Reports</t>
  </si>
  <si>
    <r>
      <rPr/>
      <t xml:space="preserve">To add: Sustainability Report 2002: </t>
    </r>
    <r>
      <rPr>
        <color rgb="FF1155CC"/>
        <u/>
      </rPr>
      <t xml:space="preserve">https://about.puma.com/sites/default/files/documents/pdf/pumanachhaltigkeitbericht2002-en.pdf
</t>
    </r>
    <r>
      <rPr/>
      <t>Status: Checked, pledges found</t>
    </r>
  </si>
  <si>
    <t>https://about.puma.com/sites/default/files/documents/pdf/pumanachhaltigkeitsbericht2003-en-1.pdf</t>
  </si>
  <si>
    <t>https://about.puma.com/sites/default/files/documents/pdf/pumanachhaltigkeitsbericht2004-en-1.pdf</t>
  </si>
  <si>
    <r>
      <rPr/>
      <t xml:space="preserve">Sustainability Report 2007/2008: </t>
    </r>
    <r>
      <rPr>
        <color rgb="FF1155CC"/>
        <u/>
      </rPr>
      <t>https://about.puma.com/sites/default/files/documents/pdf/pumanachhaltigkeitbericht2007-8-1.pdf</t>
    </r>
  </si>
  <si>
    <r>
      <rPr/>
      <t xml:space="preserve">Sustainability Report 2005/2006 : </t>
    </r>
    <r>
      <rPr>
        <color rgb="FF1155CC"/>
        <u/>
      </rPr>
      <t>https://about.puma.com/sites/default/files/documents/pdf/pumanachhaltigkeitsbericht2005-6-en.pdf</t>
    </r>
  </si>
  <si>
    <r>
      <rPr/>
      <t xml:space="preserve">Business and Sustainability Report 2010: </t>
    </r>
    <r>
      <rPr>
        <color rgb="FF1155CC"/>
        <u/>
      </rPr>
      <t>https://about.puma.com/sites/default/files/documents/pdf/pumanachhaltigkeitsbericht2010-en.pdf</t>
    </r>
  </si>
  <si>
    <t>Business and Sustainability Report</t>
  </si>
  <si>
    <t>https://about.puma.com/sites/default/files/documents/pdf/pumageschaeftsbericht2012-en.pdf</t>
  </si>
  <si>
    <t>https://about.puma.com/sites/default/files/documents/pdf/pumageschaeftsbericht2013-en.pdf</t>
  </si>
  <si>
    <t>https://about.puma.com/sites/default/files/documents/pdf/puma-annual-report-2014.pdf</t>
  </si>
  <si>
    <t>https://about.puma.com/sites/default/files/documents/pdf/gb-2015-eng-final-links-low-res.pdf</t>
  </si>
  <si>
    <t>https://about.puma.com/sites/default/files/documents/pdf/pumagb2016-eng.pdf</t>
  </si>
  <si>
    <t>It's a chapter of the Annual Report</t>
  </si>
  <si>
    <t>https://annual-report.puma.com/2017/en/index.html</t>
  </si>
  <si>
    <t>https://about.puma.com/sites/default/files/documents/pdf/en-puma-gb2018-all.pdf</t>
  </si>
  <si>
    <t>https://about.puma.com/sites/default/files/documents/pdf/puma-ar-2019-annual-report.pdf</t>
  </si>
  <si>
    <t>https://about.puma.com/sites/default/files/documents/pdf/puma-annual-report-2020.pdf</t>
  </si>
  <si>
    <t>https://about.puma.com/sites/default/files/documents/pdf/puma-annual-report-2021.pdf</t>
  </si>
  <si>
    <t>https://annual-report.puma.com/2022/en/index.html</t>
  </si>
  <si>
    <t>https://annual-report.puma.com/2023/en/index.html</t>
  </si>
  <si>
    <t>https://annual-report.puma.com/2024/en/index.html</t>
  </si>
  <si>
    <t>Voluntary Sustainability Report</t>
  </si>
  <si>
    <t>https://about.puma.com/sites/default/files/documents/pdf/puma-voluntary-sustainability-report-2024.pdf</t>
  </si>
  <si>
    <t>2015 Sustainability Report</t>
  </si>
  <si>
    <t>2016 Sustainability Report</t>
  </si>
  <si>
    <t>2017 Sustainability Report</t>
  </si>
  <si>
    <t>2018 Sustainability Report</t>
  </si>
  <si>
    <t>2019 Sustainability Report</t>
  </si>
  <si>
    <t>Annual report Ferragamo 2021</t>
  </si>
  <si>
    <t>Annual report Ferragamo 2022</t>
  </si>
  <si>
    <t>Financial reporting | Zalando Corporate</t>
  </si>
  <si>
    <t>"The reporting year marks the first time that we have developed a sustainability strategy"</t>
  </si>
  <si>
    <t>Sustainability Progress report</t>
  </si>
  <si>
    <t>Sustainability Reports | Zalando Corporate</t>
  </si>
  <si>
    <t>CSRD Digest</t>
  </si>
  <si>
    <t>Pledges by status</t>
  </si>
  <si>
    <t>Checked documents by status</t>
  </si>
  <si>
    <t>Pledges by company and specificity</t>
  </si>
  <si>
    <t>absolute</t>
  </si>
  <si>
    <t>share all</t>
  </si>
  <si>
    <t>share non-future</t>
  </si>
  <si>
    <t>COUNTA von Status</t>
  </si>
  <si>
    <t>COUNTA von pledge status</t>
  </si>
  <si>
    <t>Gesamtsumme</t>
  </si>
  <si>
    <t>Checked</t>
  </si>
  <si>
    <t>Pledges by company and status</t>
  </si>
  <si>
    <t>report status</t>
  </si>
  <si>
    <t># of pledges</t>
  </si>
  <si>
    <t>First sustainability report</t>
  </si>
  <si>
    <t>pledges found</t>
  </si>
  <si>
    <t>x</t>
  </si>
  <si>
    <t>no pledges found</t>
  </si>
  <si>
    <t>not checked</t>
  </si>
  <si>
    <t>pledge ID</t>
  </si>
  <si>
    <t>relates to whole range</t>
  </si>
  <si>
    <t>status</t>
  </si>
  <si>
    <t>actual (in target year)</t>
  </si>
  <si>
    <t>target</t>
  </si>
  <si>
    <t>starting</t>
  </si>
  <si>
    <t>starting %</t>
  </si>
  <si>
    <t>actual % (in target year)</t>
  </si>
  <si>
    <t>target %</t>
  </si>
  <si>
    <t>60000 pairs</t>
  </si>
  <si>
    <t>500,000 pairs</t>
  </si>
  <si>
    <t>500,000 pairs of leather shoes with leather from certified tanneries</t>
  </si>
  <si>
    <t>More sustainable alternatives used for our key materials (cotton, polyester)</t>
  </si>
  <si>
    <t>Footwear metal-rated leather suppliers: 99% / traceability leather rating: 20%</t>
  </si>
  <si>
    <t xml:space="preserve">LWG Medal-rated leather: &gt; 99% </t>
  </si>
  <si>
    <t>90% for medal-rated leather suppliers; traceability leather tbd</t>
  </si>
  <si>
    <t>More sustainable alternatives used for our key materials (cotton, polyester, leather, cardboard, PU)</t>
  </si>
  <si>
    <t>&gt;98</t>
  </si>
  <si>
    <t>50% lower impact cotton. achievment figures relate to of cotton used in SS and FW 2023/2024 collections organic or recycled</t>
  </si>
  <si>
    <t>tonnes</t>
  </si>
  <si>
    <t>farmers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</si>
</sst>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d&quot; &quot;mmmm&quot; &quot;"/>
    <numFmt numFmtId="166" formatCode="#,##0.00\ [$€-1]"/>
    <numFmt numFmtId="167" formatCode="d.m"/>
  </numFmts>
  <fonts count="84">
    <font>
      <sz val="10.0"/>
      <color rgb="FF000000"/>
      <name val="Arial"/>
      <scheme val="minor"/>
    </font>
    <font>
      <b/>
      <sz val="18.0"/>
      <color theme="1"/>
      <name val="Arial"/>
    </font>
    <font>
      <color theme="1"/>
      <name val="Arial"/>
    </font>
    <font>
      <i/>
      <color theme="1"/>
      <name val="Arial"/>
      <scheme val="minor"/>
    </font>
    <font/>
    <font>
      <b/>
      <color theme="1"/>
      <name val="Arial"/>
    </font>
    <font>
      <b/>
      <u/>
      <color rgb="FF0000FF"/>
      <name val="Arial"/>
    </font>
    <font>
      <sz val="18.0"/>
      <color theme="1"/>
      <name val="Arial"/>
    </font>
    <font>
      <u/>
      <color rgb="FF0000FF"/>
      <name val="Arial"/>
    </font>
    <font>
      <u/>
      <color rgb="FF0000FF"/>
    </font>
    <font>
      <color theme="1"/>
      <name val="Arial"/>
      <scheme val="minor"/>
    </font>
    <font>
      <b/>
      <sz val="14.0"/>
      <color rgb="FFFFFFFF"/>
      <name val="Arial"/>
    </font>
    <font>
      <u/>
      <color rgb="FF0000FF"/>
      <name val="Arial"/>
    </font>
    <font>
      <u/>
      <color rgb="FF0000FF"/>
      <name val="Arial"/>
    </font>
    <font>
      <color rgb="FF212529"/>
      <name val="&quot;Proxima Nova&quot;"/>
    </font>
    <font>
      <u/>
      <color rgb="FF0000FF"/>
      <name val="Roboto"/>
    </font>
    <font>
      <u/>
      <color rgb="FF434343"/>
      <name val="Arial"/>
    </font>
    <font>
      <u/>
      <color rgb="FF434343"/>
      <name val="Roboto"/>
    </font>
    <font>
      <u/>
      <sz val="11.0"/>
      <color rgb="FF434343"/>
      <name val="Calibri"/>
    </font>
    <font>
      <sz val="10.0"/>
      <color rgb="FF000000"/>
      <name val="Roboto"/>
    </font>
    <font>
      <u/>
      <sz val="11.0"/>
      <color rgb="FF0000FF"/>
      <name val="Calibri"/>
    </font>
    <font>
      <u/>
      <sz val="11.0"/>
      <color rgb="FF1155CC"/>
      <name val="Calibri"/>
    </font>
    <font>
      <u/>
      <color rgb="FF0000FF"/>
      <name val="Roboto"/>
    </font>
    <font>
      <u/>
      <color rgb="FF0000FF"/>
      <name val="Arial"/>
    </font>
    <font>
      <u/>
      <sz val="11.0"/>
      <color rgb="FF1155CC"/>
      <name val="Calibri"/>
    </font>
    <font>
      <color rgb="FF434343"/>
      <name val="Arial"/>
    </font>
    <font>
      <u/>
      <sz val="11.0"/>
      <color rgb="FF1155CC"/>
      <name val="Calibri"/>
    </font>
    <font>
      <u/>
      <color rgb="FF434343"/>
      <name val="Roboto"/>
    </font>
    <font>
      <u/>
      <sz val="11.0"/>
      <color rgb="FF0000FF"/>
      <name val="Calibri"/>
    </font>
    <font>
      <u/>
      <color rgb="FF0000FF"/>
      <name val="Arial"/>
    </font>
    <font>
      <color theme="1"/>
      <name val="Roboto"/>
    </font>
    <font>
      <u/>
      <color rgb="FF1155CC"/>
      <name val="Arial"/>
    </font>
    <font>
      <u/>
      <color theme="1"/>
      <name val="Arial"/>
    </font>
    <font>
      <color rgb="FF434343"/>
      <name val="Roboto"/>
    </font>
    <font>
      <color rgb="FF0A53A8"/>
      <name val="Roboto"/>
    </font>
    <font>
      <u/>
      <color rgb="FF434343"/>
      <name val="Roboto"/>
    </font>
    <font>
      <u/>
      <color rgb="FF434343"/>
      <name val="Roboto"/>
    </font>
    <font>
      <u/>
      <color rgb="FF434343"/>
      <name val="Roboto"/>
    </font>
    <font>
      <u/>
      <color rgb="FF0000FF"/>
      <name val="Roboto"/>
    </font>
    <font>
      <u/>
      <color rgb="FF0000FF"/>
      <name val="Roboto"/>
    </font>
    <font>
      <u/>
      <color rgb="FF0000FF"/>
      <name val="Roboto"/>
    </font>
    <font>
      <u/>
      <color rgb="FF434343"/>
      <name val="Roboto"/>
    </font>
    <font>
      <u/>
      <color rgb="FF0000FF"/>
      <name val="Roboto"/>
    </font>
    <font>
      <u/>
      <color rgb="FF0000FF"/>
      <name val="Roboto"/>
    </font>
    <font>
      <u/>
      <color rgb="FF0000FF"/>
      <name val="Roboto"/>
    </font>
    <font>
      <u/>
      <color rgb="FF0000FF"/>
      <name val="Roboto"/>
    </font>
    <font>
      <u/>
      <color rgb="FF434343"/>
      <name val="Roboto"/>
    </font>
    <font>
      <color rgb="FF473821"/>
      <name val="Roboto"/>
    </font>
    <font>
      <u/>
      <color rgb="FF434343"/>
      <name val="Roboto"/>
    </font>
    <font>
      <color rgb="FF11734B"/>
      <name val="Roboto"/>
    </font>
    <font>
      <u/>
      <color rgb="FF434343"/>
      <name val="Roboto"/>
    </font>
    <font>
      <sz val="10.0"/>
      <color rgb="FF000000"/>
      <name val="Arial"/>
    </font>
    <font>
      <u/>
      <color rgb="FF434343"/>
      <name val="Roboto"/>
    </font>
    <font>
      <u/>
      <color rgb="FF434343"/>
      <name val="Roboto"/>
    </font>
    <font>
      <u/>
      <color rgb="FF434343"/>
      <name val="Roboto"/>
    </font>
    <font>
      <u/>
      <color rgb="FF0000FF"/>
      <name val="Roboto"/>
    </font>
    <font>
      <u/>
      <color rgb="FF434343"/>
      <name val="Roboto"/>
    </font>
    <font>
      <color rgb="FF000000"/>
      <name val="Arial"/>
    </font>
    <font>
      <u/>
      <color rgb="FF434343"/>
      <name val="Roboto"/>
    </font>
    <font>
      <u/>
      <color rgb="FF0000FF"/>
      <name val="Arial"/>
    </font>
    <font>
      <u/>
      <color rgb="FF0000FF"/>
      <name val="Arial"/>
    </font>
    <font>
      <u/>
      <color rgb="FF1155CC"/>
      <name val="Arial"/>
    </font>
    <font>
      <u/>
      <color rgb="FF1155CC"/>
      <name val="Arial"/>
    </font>
    <font>
      <u/>
      <color rgb="FF1155CC"/>
      <name val="Arial"/>
    </font>
    <font>
      <u/>
      <color rgb="FF1155CC"/>
      <name val="Arial"/>
    </font>
    <font>
      <u/>
      <color rgb="FF1155CC"/>
      <name val="Arial"/>
    </font>
    <font>
      <u/>
      <color rgb="FF434343"/>
      <name val="Roboto"/>
    </font>
    <font>
      <u/>
      <color rgb="FF434343"/>
      <name val="Roboto"/>
    </font>
    <font>
      <u/>
      <color rgb="FF434343"/>
      <name val="Roboto"/>
    </font>
    <font>
      <color rgb="FFB10202"/>
      <name val="Roboto"/>
    </font>
    <font>
      <u/>
      <color rgb="FF434343"/>
      <name val="Roboto"/>
    </font>
    <font>
      <u/>
      <color rgb="FF434343"/>
      <name val="Roboto"/>
    </font>
    <font>
      <u/>
      <color rgb="FF434343"/>
      <name val="Roboto"/>
    </font>
    <font>
      <u/>
      <color rgb="FF0000FF"/>
      <name val="Roboto"/>
    </font>
    <font>
      <u/>
      <color rgb="FF0000FF"/>
      <name val="Roboto"/>
    </font>
    <font>
      <u/>
      <color rgb="FF434343"/>
      <name val="Roboto"/>
    </font>
    <font>
      <u/>
      <color rgb="FF434343"/>
      <name val="Roboto"/>
    </font>
    <font>
      <u/>
      <color theme="1"/>
      <name val="Arial"/>
      <scheme val="minor"/>
    </font>
    <font>
      <u/>
      <color theme="1"/>
      <name val="Arial"/>
      <scheme val="minor"/>
    </font>
    <font>
      <u/>
      <color rgb="FF434343"/>
      <name val="Arial"/>
      <scheme val="minor"/>
    </font>
    <font>
      <u/>
      <color rgb="FF0000FF"/>
      <name val="Roboto"/>
    </font>
    <font>
      <u/>
      <color rgb="FF0000FF"/>
      <name val="Roboto"/>
    </font>
    <font>
      <u/>
      <color rgb="FF434343"/>
      <name val="Roboto"/>
    </font>
    <font>
      <b/>
      <color theme="1"/>
      <name val="Arial"/>
      <scheme val="minor"/>
    </font>
  </fonts>
  <fills count="12">
    <fill>
      <patternFill patternType="none"/>
    </fill>
    <fill>
      <patternFill patternType="lightGray"/>
    </fill>
    <fill>
      <patternFill patternType="solid">
        <fgColor rgb="FF356854"/>
        <bgColor rgb="FF356854"/>
      </patternFill>
    </fill>
    <fill>
      <patternFill patternType="solid">
        <fgColor rgb="FF5B3F86"/>
        <bgColor rgb="FF5B3F86"/>
      </patternFill>
    </fill>
    <fill>
      <patternFill patternType="solid">
        <fgColor rgb="FFD9EAD3"/>
        <bgColor rgb="FFD9EAD3"/>
      </patternFill>
    </fill>
    <fill>
      <patternFill patternType="solid">
        <fgColor rgb="FFD9D2E9"/>
        <bgColor rgb="FFD9D2E9"/>
      </patternFill>
    </fill>
    <fill>
      <patternFill patternType="solid">
        <fgColor rgb="FFB4A7D6"/>
        <bgColor rgb="FFB4A7D6"/>
      </patternFill>
    </fill>
    <fill>
      <patternFill patternType="solid">
        <fgColor rgb="FFB6D7A8"/>
        <bgColor rgb="FFB6D7A8"/>
      </patternFill>
    </fill>
    <fill>
      <patternFill patternType="solid">
        <fgColor rgb="FFFFFFFF"/>
        <bgColor rgb="FFFFFFFF"/>
      </patternFill>
    </fill>
    <fill>
      <patternFill patternType="solid">
        <fgColor rgb="FFF6F8F9"/>
        <bgColor rgb="FFF6F8F9"/>
      </patternFill>
    </fill>
    <fill>
      <patternFill patternType="solid">
        <fgColor rgb="FF00FF00"/>
        <bgColor rgb="FF00FF00"/>
      </patternFill>
    </fill>
    <fill>
      <patternFill patternType="solid">
        <fgColor rgb="FFC9DAF8"/>
        <bgColor rgb="FFC9DAF8"/>
      </patternFill>
    </fill>
  </fills>
  <borders count="38">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left style="thin">
        <color rgb="FF000000"/>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top style="thin">
        <color rgb="FFFFFFFF"/>
      </top>
      <bottom style="thin">
        <color rgb="FF442F65"/>
      </bottom>
    </border>
    <border>
      <left style="thin">
        <color rgb="FF442F65"/>
      </left>
      <right style="thin">
        <color rgb="FFFFFFFF"/>
      </right>
      <top style="thin">
        <color rgb="FFFFFFFF"/>
      </top>
      <bottom style="thin">
        <color rgb="FFFFFFFF"/>
      </bottom>
    </border>
    <border>
      <left style="thin">
        <color rgb="FF000000"/>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000000"/>
      </left>
      <right style="thin">
        <color rgb="FFF6F8F9"/>
      </right>
      <top style="thin">
        <color rgb="FFF6F8F9"/>
      </top>
      <bottom style="thin">
        <color rgb="FFF6F8F9"/>
      </bottom>
    </border>
    <border>
      <left style="thin">
        <color rgb="FFF6F8F9"/>
      </left>
      <top style="thin">
        <color rgb="FFF6F8F9"/>
      </top>
      <bottom style="thin">
        <color rgb="FFF6F8F9"/>
      </bottom>
    </border>
    <border>
      <left style="thin">
        <color rgb="FFF6F8F9"/>
      </left>
      <right style="thin">
        <color rgb="FF442F65"/>
      </right>
      <top style="thin">
        <color rgb="FFF6F8F9"/>
      </top>
      <bottom style="thin">
        <color rgb="FFF6F8F9"/>
      </bottom>
    </border>
    <border>
      <right style="thin">
        <color rgb="FF442F65"/>
      </right>
    </border>
    <border>
      <left style="thin">
        <color rgb="FF442F65"/>
      </left>
      <right style="thin">
        <color rgb="FFF6F8F9"/>
      </right>
      <top style="thin">
        <color rgb="FFF6F8F9"/>
      </top>
      <bottom style="thin">
        <color rgb="FF442F65"/>
      </bottom>
    </border>
    <border>
      <left style="thin">
        <color rgb="FFF6F8F9"/>
      </left>
      <right style="thin">
        <color rgb="FFF6F8F9"/>
      </right>
      <top style="thin">
        <color rgb="FFF6F8F9"/>
      </top>
      <bottom style="thin">
        <color rgb="FF442F65"/>
      </bottom>
    </border>
    <border>
      <left style="thin">
        <color rgb="FFF6F8F9"/>
      </left>
      <top style="thin">
        <color rgb="FFF6F8F9"/>
      </top>
      <bottom style="thin">
        <color rgb="FF442F65"/>
      </bottom>
    </border>
    <border>
      <left style="thin">
        <color rgb="FF000000"/>
      </left>
      <right style="thin">
        <color rgb="FFF6F8F9"/>
      </right>
      <top style="thin">
        <color rgb="FFF6F8F9"/>
      </top>
      <bottom style="thin">
        <color rgb="FF442F65"/>
      </bottom>
    </border>
    <border>
      <left style="thin">
        <color rgb="FFF6F8F9"/>
      </left>
      <right style="thin">
        <color rgb="FF442F65"/>
      </right>
      <top style="thin">
        <color rgb="FFF6F8F9"/>
      </top>
      <bottom style="thin">
        <color rgb="FF442F65"/>
      </bottom>
    </border>
    <border>
      <left style="thin">
        <color rgb="FF442F65"/>
      </left>
      <right style="thin">
        <color rgb="FFFFFFFF"/>
      </right>
      <top style="thin">
        <color rgb="FFFFFFFF"/>
      </top>
      <bottom style="thin">
        <color rgb="FF442F65"/>
      </bottom>
    </border>
    <border>
      <left style="thin">
        <color rgb="FF442F65"/>
      </left>
    </border>
    <border>
      <left style="thin">
        <color rgb="FFFFFFFF"/>
      </left>
      <right style="thin">
        <color rgb="FFFFFFFF"/>
      </right>
      <top style="thin">
        <color rgb="FFFFFFFF"/>
      </top>
      <bottom style="thin">
        <color rgb="FF8C352D"/>
      </bottom>
    </border>
  </borders>
  <cellStyleXfs count="1">
    <xf borderId="0" fillId="0" fontId="0" numFmtId="0" applyAlignment="1" applyFont="1"/>
  </cellStyleXfs>
  <cellXfs count="53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1" fillId="0" fontId="3" numFmtId="0" xfId="0" applyAlignment="1" applyBorder="1" applyFont="1">
      <alignment readingOrder="0" shrinkToFit="0" vertical="top" wrapText="1"/>
    </xf>
    <xf borderId="2" fillId="0" fontId="4" numFmtId="0" xfId="0" applyBorder="1" applyFont="1"/>
    <xf borderId="3" fillId="0" fontId="4" numFmtId="0" xfId="0" applyBorder="1" applyFont="1"/>
    <xf borderId="4" fillId="0" fontId="4" numFmtId="0" xfId="0" applyBorder="1" applyFont="1"/>
    <xf borderId="5" fillId="0" fontId="4" numFmtId="0" xfId="0" applyBorder="1" applyFont="1"/>
    <xf borderId="6" fillId="0" fontId="4" numFmtId="0" xfId="0" applyBorder="1" applyFont="1"/>
    <xf borderId="7" fillId="0" fontId="4" numFmtId="0" xfId="0" applyBorder="1" applyFont="1"/>
    <xf borderId="8" fillId="0" fontId="4" numFmtId="0" xfId="0" applyBorder="1" applyFont="1"/>
    <xf borderId="1" fillId="0" fontId="5" numFmtId="0" xfId="0" applyAlignment="1" applyBorder="1" applyFont="1">
      <alignment shrinkToFit="0" vertical="bottom" wrapText="1"/>
    </xf>
    <xf borderId="9" fillId="0" fontId="6" numFmtId="0" xfId="0" applyAlignment="1" applyBorder="1" applyFont="1">
      <alignment readingOrder="0" vertical="bottom"/>
    </xf>
    <xf borderId="10" fillId="0" fontId="4" numFmtId="0" xfId="0" applyBorder="1" applyFont="1"/>
    <xf borderId="11" fillId="0" fontId="4" numFmtId="0" xfId="0" applyBorder="1" applyFont="1"/>
    <xf borderId="0" fillId="0" fontId="7" numFmtId="0" xfId="0" applyAlignment="1" applyFont="1">
      <alignment vertical="bottom"/>
    </xf>
    <xf borderId="0" fillId="0" fontId="8" numFmtId="0" xfId="0" applyAlignment="1" applyFont="1">
      <alignment readingOrder="0" vertical="bottom"/>
    </xf>
    <xf borderId="0" fillId="0" fontId="2" numFmtId="0" xfId="0" applyAlignment="1" applyFont="1">
      <alignment readingOrder="0" vertical="bottom"/>
    </xf>
    <xf borderId="0" fillId="0" fontId="9" numFmtId="0" xfId="0" applyAlignment="1" applyFont="1">
      <alignment readingOrder="0"/>
    </xf>
    <xf borderId="0" fillId="0" fontId="10" numFmtId="0" xfId="0" applyAlignment="1" applyFont="1">
      <alignment readingOrder="0"/>
    </xf>
    <xf borderId="0" fillId="2" fontId="11" numFmtId="0" xfId="0" applyAlignment="1" applyFill="1" applyFont="1">
      <alignment vertical="bottom"/>
    </xf>
    <xf borderId="0" fillId="3" fontId="11" numFmtId="0" xfId="0" applyAlignment="1" applyFill="1" applyFont="1">
      <alignment vertical="bottom"/>
    </xf>
    <xf borderId="12" fillId="4" fontId="5" numFmtId="0" xfId="0" applyAlignment="1" applyBorder="1" applyFill="1" applyFont="1">
      <alignment vertical="bottom"/>
    </xf>
    <xf borderId="12" fillId="5" fontId="5" numFmtId="0" xfId="0" applyAlignment="1" applyBorder="1" applyFill="1" applyFont="1">
      <alignment vertical="top"/>
    </xf>
    <xf borderId="13" fillId="0" fontId="10" numFmtId="0" xfId="0" applyAlignment="1" applyBorder="1" applyFont="1">
      <alignment vertical="top"/>
    </xf>
    <xf borderId="12" fillId="0" fontId="10" numFmtId="0" xfId="0" applyAlignment="1" applyBorder="1" applyFont="1">
      <alignment shrinkToFit="0" vertical="top" wrapText="1"/>
    </xf>
    <xf borderId="12" fillId="0" fontId="2" numFmtId="0" xfId="0" applyAlignment="1" applyBorder="1" applyFont="1">
      <alignment shrinkToFit="0" vertical="top" wrapText="1"/>
    </xf>
    <xf borderId="13" fillId="0" fontId="5" numFmtId="0" xfId="0" applyAlignment="1" applyBorder="1" applyFont="1">
      <alignment readingOrder="0" shrinkToFit="0" vertical="top" wrapText="1"/>
    </xf>
    <xf borderId="12" fillId="0" fontId="5" numFmtId="0" xfId="0" applyAlignment="1" applyBorder="1" applyFont="1">
      <alignment readingOrder="0" shrinkToFit="0" vertical="top" wrapText="1"/>
    </xf>
    <xf borderId="12" fillId="0" fontId="10" numFmtId="0" xfId="0" applyAlignment="1" applyBorder="1" applyFont="1">
      <alignment readingOrder="0" shrinkToFit="0" vertical="top" wrapText="1"/>
    </xf>
    <xf borderId="14" fillId="0" fontId="4" numFmtId="0" xfId="0" applyBorder="1" applyFont="1"/>
    <xf borderId="12" fillId="0" fontId="2" numFmtId="0" xfId="0" applyAlignment="1" applyBorder="1" applyFont="1">
      <alignment readingOrder="0" shrinkToFit="0" vertical="top" wrapText="1"/>
    </xf>
    <xf borderId="12" fillId="0" fontId="5" numFmtId="0" xfId="0" applyAlignment="1" applyBorder="1" applyFont="1">
      <alignment readingOrder="0" shrinkToFit="0" vertical="top" wrapText="1"/>
    </xf>
    <xf borderId="15" fillId="0" fontId="4" numFmtId="0" xfId="0" applyBorder="1" applyFont="1"/>
    <xf borderId="12" fillId="0" fontId="10" numFmtId="49" xfId="0" applyAlignment="1" applyBorder="1" applyFont="1" applyNumberFormat="1">
      <alignment shrinkToFit="0" vertical="top" wrapText="1"/>
    </xf>
    <xf borderId="13" fillId="4" fontId="5" numFmtId="0" xfId="0" applyAlignment="1" applyBorder="1" applyFont="1">
      <alignment horizontal="center" readingOrder="0" shrinkToFit="0" vertical="top" wrapText="1"/>
    </xf>
    <xf borderId="13" fillId="6" fontId="5" numFmtId="0" xfId="0" applyAlignment="1" applyBorder="1" applyFill="1" applyFont="1">
      <alignment horizontal="center" readingOrder="0" shrinkToFit="0" vertical="top" wrapText="1"/>
    </xf>
    <xf borderId="12" fillId="0" fontId="5" numFmtId="49" xfId="0" applyAlignment="1" applyBorder="1" applyFont="1" applyNumberFormat="1">
      <alignment readingOrder="0" shrinkToFit="0" vertical="top" wrapText="1"/>
    </xf>
    <xf borderId="13" fillId="5" fontId="5" numFmtId="0" xfId="0" applyAlignment="1" applyBorder="1" applyFont="1">
      <alignment horizontal="center" readingOrder="0" shrinkToFit="0" vertical="top" wrapText="1"/>
    </xf>
    <xf borderId="13" fillId="7" fontId="5" numFmtId="0" xfId="0" applyAlignment="1" applyBorder="1" applyFill="1" applyFont="1">
      <alignment horizontal="center" readingOrder="0" shrinkToFit="0" vertical="top" wrapText="1"/>
    </xf>
    <xf borderId="12" fillId="0" fontId="10" numFmtId="0" xfId="0" applyAlignment="1" applyBorder="1" applyFont="1">
      <alignment shrinkToFit="0" vertical="top" wrapText="1"/>
    </xf>
    <xf borderId="13" fillId="6" fontId="5" numFmtId="0" xfId="0" applyAlignment="1" applyBorder="1" applyFont="1">
      <alignment horizontal="center" shrinkToFit="0" vertical="top" wrapText="1"/>
    </xf>
    <xf borderId="0" fillId="0" fontId="10" numFmtId="0" xfId="0" applyFont="1"/>
    <xf borderId="12" fillId="0" fontId="5" numFmtId="0" xfId="0" applyAlignment="1" applyBorder="1" applyFont="1">
      <alignment horizontal="left" readingOrder="0" shrinkToFit="0" vertical="top" wrapText="1"/>
    </xf>
    <xf borderId="0" fillId="0" fontId="1" numFmtId="0" xfId="0" applyAlignment="1" applyFont="1">
      <alignment readingOrder="0"/>
    </xf>
    <xf borderId="0" fillId="0" fontId="10" numFmtId="0" xfId="0" applyAlignment="1" applyFont="1">
      <alignment horizontal="right"/>
    </xf>
    <xf borderId="9" fillId="4" fontId="5" numFmtId="0" xfId="0" applyAlignment="1" applyBorder="1" applyFont="1">
      <alignment horizontal="center" readingOrder="0" shrinkToFit="0" vertical="center" wrapText="1"/>
    </xf>
    <xf borderId="9" fillId="7" fontId="5" numFmtId="0" xfId="0" applyAlignment="1" applyBorder="1" applyFont="1">
      <alignment horizontal="center" readingOrder="0" shrinkToFit="0" vertical="center" wrapText="1"/>
    </xf>
    <xf borderId="0" fillId="0" fontId="10" numFmtId="0" xfId="0" applyAlignment="1" applyFont="1">
      <alignment horizontal="left" shrinkToFit="0" vertical="center" wrapText="1"/>
    </xf>
    <xf borderId="0" fillId="0" fontId="10" numFmtId="49" xfId="0" applyAlignment="1" applyFont="1" applyNumberFormat="1">
      <alignment horizontal="left" shrinkToFit="0" vertical="center" wrapText="1"/>
    </xf>
    <xf borderId="0" fillId="0" fontId="10" numFmtId="0" xfId="0" applyAlignment="1" applyFont="1">
      <alignment horizontal="left" shrinkToFit="0" vertical="center" wrapText="1"/>
    </xf>
    <xf borderId="0" fillId="0" fontId="10" numFmtId="0" xfId="0" applyAlignment="1" applyFont="1">
      <alignment shrinkToFit="0" wrapText="1"/>
    </xf>
    <xf borderId="0" fillId="0" fontId="10" numFmtId="0" xfId="0" applyAlignment="1" applyFont="1">
      <alignment shrinkToFit="0" vertical="center" wrapText="0"/>
    </xf>
    <xf borderId="0" fillId="0" fontId="10" numFmtId="0" xfId="0" applyAlignment="1" applyFont="1">
      <alignment readingOrder="0" shrinkToFit="0" vertical="center" wrapText="0"/>
    </xf>
    <xf borderId="0" fillId="0" fontId="10" numFmtId="4" xfId="0" applyAlignment="1" applyFont="1" applyNumberFormat="1">
      <alignment readingOrder="0" shrinkToFit="0" vertical="center" wrapText="0"/>
    </xf>
    <xf borderId="0" fillId="0" fontId="10" numFmtId="4" xfId="0" applyAlignment="1" applyFont="1" applyNumberFormat="1">
      <alignment shrinkToFit="0" vertical="center" wrapText="0"/>
    </xf>
    <xf borderId="0" fillId="0" fontId="10" numFmtId="3" xfId="0" applyAlignment="1" applyFont="1" applyNumberFormat="1">
      <alignment shrinkToFit="0" vertical="center" wrapText="0"/>
    </xf>
    <xf borderId="0" fillId="0" fontId="2" numFmtId="0" xfId="0" applyAlignment="1" applyFont="1">
      <alignment readingOrder="0" shrinkToFit="0" vertical="bottom" wrapText="0"/>
    </xf>
    <xf borderId="0" fillId="0" fontId="2" numFmtId="0" xfId="0" applyAlignment="1" applyFont="1">
      <alignment horizontal="left" readingOrder="0" shrinkToFit="0" vertical="bottom" wrapText="0"/>
    </xf>
    <xf borderId="0" fillId="0" fontId="12" numFmtId="0" xfId="0" applyAlignment="1" applyFont="1">
      <alignment readingOrder="0" shrinkToFit="0" vertical="bottom" wrapText="0"/>
    </xf>
    <xf borderId="0" fillId="0" fontId="13" numFmtId="0" xfId="0" applyAlignment="1" applyFont="1">
      <alignment readingOrder="0" shrinkToFit="0" vertical="bottom" wrapText="0"/>
    </xf>
    <xf borderId="0" fillId="0" fontId="10" numFmtId="0" xfId="0" applyAlignment="1" applyFont="1">
      <alignment readingOrder="0" shrinkToFit="0" vertical="center" wrapText="0"/>
    </xf>
    <xf borderId="0" fillId="0" fontId="10" numFmtId="0" xfId="0" applyAlignment="1" applyFont="1">
      <alignment readingOrder="0" shrinkToFit="0" vertical="center" wrapText="0"/>
    </xf>
    <xf borderId="0" fillId="0" fontId="14" numFmtId="4" xfId="0" applyAlignment="1" applyFont="1" applyNumberFormat="1">
      <alignment readingOrder="0" shrinkToFit="0" vertical="center" wrapText="0"/>
    </xf>
    <xf borderId="0" fillId="0" fontId="15" numFmtId="0" xfId="0" applyAlignment="1" applyFont="1">
      <alignment readingOrder="0" shrinkToFit="0" vertical="center" wrapText="0"/>
    </xf>
    <xf borderId="0" fillId="0" fontId="2" numFmtId="0" xfId="0" applyAlignment="1" applyFont="1">
      <alignment readingOrder="0" shrinkToFit="0" vertical="bottom" wrapText="0"/>
    </xf>
    <xf borderId="0" fillId="0" fontId="16" numFmtId="0" xfId="0" applyAlignment="1" applyFont="1">
      <alignment readingOrder="0" shrinkToFit="0" vertical="bottom" wrapText="0"/>
    </xf>
    <xf borderId="0" fillId="0" fontId="17" numFmtId="0" xfId="0" applyAlignment="1" applyFont="1">
      <alignment readingOrder="0" shrinkToFit="0" vertical="center" wrapText="0"/>
    </xf>
    <xf borderId="0" fillId="0" fontId="18" numFmtId="0" xfId="0" applyAlignment="1" applyFont="1">
      <alignment readingOrder="0" shrinkToFit="0" vertical="bottom" wrapText="0"/>
    </xf>
    <xf borderId="0" fillId="0" fontId="19" numFmtId="0" xfId="0" applyAlignment="1" applyFont="1">
      <alignment readingOrder="0" shrinkToFit="0" vertical="center" wrapText="0"/>
    </xf>
    <xf borderId="0" fillId="0" fontId="2" numFmtId="0" xfId="0" applyAlignment="1" applyFont="1">
      <alignment shrinkToFit="0" vertical="bottom" wrapText="0"/>
    </xf>
    <xf borderId="0" fillId="0" fontId="20" numFmtId="0" xfId="0" applyAlignment="1" applyFont="1">
      <alignment readingOrder="0" shrinkToFit="0" vertical="bottom" wrapText="0"/>
    </xf>
    <xf borderId="0" fillId="0" fontId="21" numFmtId="0" xfId="0" applyAlignment="1" applyFont="1">
      <alignment readingOrder="0" shrinkToFit="0" vertical="bottom" wrapText="0"/>
    </xf>
    <xf borderId="0" fillId="0" fontId="10" numFmtId="0" xfId="0" applyAlignment="1" applyFont="1">
      <alignment readingOrder="0" shrinkToFit="0" vertical="center" wrapText="0"/>
    </xf>
    <xf borderId="0" fillId="0" fontId="10" numFmtId="0" xfId="0" applyAlignment="1" applyFont="1">
      <alignment readingOrder="0" shrinkToFit="0" vertical="center" wrapText="0"/>
    </xf>
    <xf borderId="0" fillId="0" fontId="10" numFmtId="4" xfId="0" applyAlignment="1" applyFont="1" applyNumberFormat="1">
      <alignment readingOrder="0" shrinkToFit="0" vertical="center" wrapText="0"/>
    </xf>
    <xf borderId="0" fillId="0" fontId="22" numFmtId="0" xfId="0" applyAlignment="1" applyFont="1">
      <alignment readingOrder="0" shrinkToFit="0" vertical="center" wrapText="0"/>
    </xf>
    <xf borderId="0" fillId="0" fontId="23" numFmtId="0" xfId="0" applyAlignment="1" applyFont="1">
      <alignment readingOrder="0" shrinkToFit="0" vertical="bottom" wrapText="0"/>
    </xf>
    <xf borderId="0" fillId="0" fontId="24" numFmtId="0" xfId="0" applyAlignment="1" applyFont="1">
      <alignment readingOrder="0" shrinkToFit="0" vertical="bottom" wrapText="0"/>
    </xf>
    <xf borderId="0" fillId="0" fontId="10" numFmtId="3" xfId="0" applyAlignment="1" applyFont="1" applyNumberFormat="1">
      <alignment readingOrder="0" shrinkToFit="0" vertical="center" wrapText="0"/>
    </xf>
    <xf borderId="0" fillId="0" fontId="25" numFmtId="0" xfId="0" applyAlignment="1" applyFont="1">
      <alignment readingOrder="0" shrinkToFit="0" vertical="bottom" wrapText="0"/>
    </xf>
    <xf borderId="0" fillId="0" fontId="10" numFmtId="4" xfId="0" applyAlignment="1" applyFont="1" applyNumberFormat="1">
      <alignment shrinkToFit="0" vertical="center" wrapText="0"/>
    </xf>
    <xf borderId="0" fillId="0" fontId="10" numFmtId="0" xfId="0" applyAlignment="1" applyFont="1">
      <alignment shrinkToFit="0" vertical="center" wrapText="0"/>
    </xf>
    <xf borderId="0" fillId="0" fontId="10" numFmtId="0" xfId="0" applyAlignment="1" applyFont="1">
      <alignment shrinkToFit="0" vertical="center" wrapText="0"/>
    </xf>
    <xf borderId="0" fillId="0" fontId="26" numFmtId="0" xfId="0" applyAlignment="1" applyFont="1">
      <alignment shrinkToFit="0" vertical="bottom" wrapText="0"/>
    </xf>
    <xf borderId="0" fillId="0" fontId="10" numFmtId="4" xfId="0" applyAlignment="1" applyFont="1" applyNumberFormat="1">
      <alignment readingOrder="0" shrinkToFit="0" vertical="center" wrapText="0"/>
    </xf>
    <xf borderId="0" fillId="0" fontId="27" numFmtId="0" xfId="0" applyAlignment="1" applyFont="1">
      <alignment readingOrder="0" shrinkToFit="0" vertical="center" wrapText="0"/>
    </xf>
    <xf borderId="0" fillId="0" fontId="14" numFmtId="4" xfId="0" applyAlignment="1" applyFont="1" applyNumberFormat="1">
      <alignment readingOrder="0" shrinkToFit="0" vertical="center" wrapText="0"/>
    </xf>
    <xf borderId="0" fillId="0" fontId="2" numFmtId="0" xfId="0" applyAlignment="1" applyFont="1">
      <alignment shrinkToFit="0" vertical="bottom" wrapText="0"/>
    </xf>
    <xf borderId="0" fillId="0" fontId="28" numFmtId="0" xfId="0" applyAlignment="1" applyFont="1">
      <alignment readingOrder="0" shrinkToFit="0" vertical="bottom" wrapText="0"/>
    </xf>
    <xf borderId="0" fillId="0" fontId="10" numFmtId="0" xfId="0" applyAlignment="1" applyFont="1">
      <alignment readingOrder="0" shrinkToFit="0" vertical="center" wrapText="0"/>
    </xf>
    <xf borderId="0" fillId="0" fontId="10" numFmtId="4" xfId="0" applyAlignment="1" applyFont="1" applyNumberFormat="1">
      <alignment readingOrder="0" shrinkToFit="0" vertical="center" wrapText="0"/>
    </xf>
    <xf borderId="0" fillId="0" fontId="29" numFmtId="0" xfId="0" applyAlignment="1" applyFont="1">
      <alignment readingOrder="0" shrinkToFit="0" vertical="bottom" wrapText="0"/>
    </xf>
    <xf borderId="0" fillId="8" fontId="30" numFmtId="0" xfId="0" applyAlignment="1" applyFill="1" applyFont="1">
      <alignment vertical="bottom"/>
    </xf>
    <xf borderId="0" fillId="0" fontId="2" numFmtId="164" xfId="0" applyAlignment="1" applyFont="1" applyNumberFormat="1">
      <alignment horizontal="right" vertical="bottom"/>
    </xf>
    <xf borderId="0" fillId="0" fontId="2" numFmtId="0" xfId="0" applyAlignment="1" applyFont="1">
      <alignment horizontal="right" vertical="bottom"/>
    </xf>
    <xf borderId="0" fillId="0" fontId="31" numFmtId="0" xfId="0" applyAlignment="1" applyFont="1">
      <alignment vertical="bottom"/>
    </xf>
    <xf borderId="0" fillId="8" fontId="30" numFmtId="165" xfId="0" applyAlignment="1" applyFont="1" applyNumberFormat="1">
      <alignment vertical="bottom"/>
    </xf>
    <xf borderId="0" fillId="0" fontId="2" numFmtId="166" xfId="0" applyAlignment="1" applyFont="1" applyNumberFormat="1">
      <alignment vertical="bottom"/>
    </xf>
    <xf borderId="0" fillId="0" fontId="32" numFmtId="0" xfId="0" applyAlignment="1" applyFont="1">
      <alignment vertical="bottom"/>
    </xf>
    <xf borderId="0" fillId="0" fontId="1" numFmtId="0" xfId="0" applyAlignment="1" applyFont="1">
      <alignment readingOrder="0" vertical="bottom"/>
    </xf>
    <xf borderId="4" fillId="0" fontId="10" numFmtId="0" xfId="0" applyBorder="1" applyFont="1"/>
    <xf borderId="0" fillId="0" fontId="5" numFmtId="0" xfId="0" applyAlignment="1" applyFont="1">
      <alignment readingOrder="0" shrinkToFit="0" vertical="bottom" wrapText="0"/>
    </xf>
    <xf borderId="9" fillId="6" fontId="5" numFmtId="0" xfId="0" applyAlignment="1" applyBorder="1" applyFont="1">
      <alignment horizontal="center" readingOrder="0" shrinkToFit="0" vertical="bottom" wrapText="0"/>
    </xf>
    <xf borderId="9" fillId="5" fontId="5" numFmtId="0" xfId="0" applyAlignment="1" applyBorder="1" applyFont="1">
      <alignment horizontal="center" readingOrder="0" shrinkToFit="0" vertical="bottom" wrapText="0"/>
    </xf>
    <xf borderId="9" fillId="6" fontId="5" numFmtId="0" xfId="0" applyAlignment="1" applyBorder="1" applyFont="1">
      <alignment horizontal="center" shrinkToFit="0" vertical="bottom" wrapText="0"/>
    </xf>
    <xf borderId="0" fillId="0" fontId="5" numFmtId="0" xfId="0" applyAlignment="1" applyFont="1">
      <alignment horizontal="left" readingOrder="0" shrinkToFit="0" vertical="bottom" wrapText="1"/>
    </xf>
    <xf borderId="0" fillId="0" fontId="5" numFmtId="0" xfId="0" applyAlignment="1" applyFont="1">
      <alignment horizontal="left" readingOrder="0" shrinkToFit="0" vertical="bottom" wrapText="1"/>
    </xf>
    <xf borderId="0" fillId="0" fontId="5" numFmtId="49" xfId="0" applyAlignment="1" applyFont="1" applyNumberFormat="1">
      <alignment horizontal="left" readingOrder="0" shrinkToFit="0" vertical="bottom" wrapText="1"/>
    </xf>
    <xf borderId="4" fillId="0" fontId="5" numFmtId="0" xfId="0" applyAlignment="1" applyBorder="1" applyFont="1">
      <alignment horizontal="left" readingOrder="0" shrinkToFit="0" vertical="bottom" wrapText="1"/>
    </xf>
    <xf borderId="0" fillId="0" fontId="5" numFmtId="0" xfId="0" applyAlignment="1" applyFont="1">
      <alignment horizontal="right" readingOrder="0" shrinkToFit="0" vertical="bottom" wrapText="1"/>
    </xf>
    <xf borderId="0" fillId="9" fontId="33" numFmtId="0" xfId="0" applyAlignment="1" applyFill="1" applyFont="1">
      <alignment readingOrder="0" shrinkToFit="0" vertical="center" wrapText="0"/>
    </xf>
    <xf borderId="0" fillId="9" fontId="34" numFmtId="0" xfId="0" applyAlignment="1" applyFont="1">
      <alignment readingOrder="0" shrinkToFit="0" vertical="center" wrapText="0"/>
    </xf>
    <xf borderId="0" fillId="9" fontId="2" numFmtId="0" xfId="0" applyAlignment="1" applyFont="1">
      <alignment readingOrder="0" shrinkToFit="0" vertical="center" wrapText="0"/>
    </xf>
    <xf borderId="0" fillId="9" fontId="33" numFmtId="0" xfId="0" applyAlignment="1" applyFont="1">
      <alignment readingOrder="0" shrinkToFit="0" vertical="center" wrapText="0"/>
    </xf>
    <xf borderId="0" fillId="0" fontId="10" numFmtId="0" xfId="0" applyAlignment="1" applyFont="1">
      <alignment readingOrder="0" shrinkToFit="0" vertical="center" wrapText="0"/>
    </xf>
    <xf borderId="0" fillId="9" fontId="33" numFmtId="0" xfId="0" applyAlignment="1" applyFont="1">
      <alignment horizontal="right" readingOrder="0" shrinkToFit="0" vertical="center" wrapText="0"/>
    </xf>
    <xf borderId="0" fillId="9" fontId="35" numFmtId="0" xfId="0" applyAlignment="1" applyFont="1">
      <alignment shrinkToFit="0" vertical="center" wrapText="0"/>
    </xf>
    <xf borderId="0" fillId="9" fontId="36" numFmtId="0" xfId="0" applyAlignment="1" applyFont="1">
      <alignment readingOrder="0" shrinkToFit="0" vertical="center" wrapText="0"/>
    </xf>
    <xf borderId="4" fillId="9" fontId="33" numFmtId="0" xfId="0" applyAlignment="1" applyBorder="1" applyFont="1">
      <alignment horizontal="right" readingOrder="0" shrinkToFit="0" vertical="center" wrapText="0"/>
    </xf>
    <xf borderId="0" fillId="9" fontId="2" numFmtId="0" xfId="0" applyAlignment="1" applyFont="1">
      <alignment shrinkToFit="0" vertical="center" wrapText="0"/>
    </xf>
    <xf borderId="0" fillId="9" fontId="33" numFmtId="0" xfId="0" applyAlignment="1" applyFont="1">
      <alignment horizontal="right" shrinkToFit="0" vertical="center" wrapText="0"/>
    </xf>
    <xf borderId="0" fillId="9" fontId="33" numFmtId="0" xfId="0" applyAlignment="1" applyFont="1">
      <alignment shrinkToFit="0" vertical="center" wrapText="0"/>
    </xf>
    <xf borderId="0" fillId="9" fontId="37" numFmtId="0" xfId="0" applyAlignment="1" applyFont="1">
      <alignment shrinkToFit="0" vertical="center" wrapText="0"/>
    </xf>
    <xf borderId="0" fillId="0" fontId="10" numFmtId="0" xfId="0" applyAlignment="1" applyFont="1">
      <alignment readingOrder="0" shrinkToFit="0" vertical="center" wrapText="0"/>
    </xf>
    <xf borderId="0" fillId="0" fontId="10" numFmtId="0" xfId="0" applyAlignment="1" applyFont="1">
      <alignment readingOrder="0" shrinkToFit="0" vertical="center" wrapText="0"/>
    </xf>
    <xf borderId="0" fillId="8" fontId="33" numFmtId="0" xfId="0" applyAlignment="1" applyFont="1">
      <alignment shrinkToFit="0" vertical="center" wrapText="0"/>
    </xf>
    <xf borderId="0" fillId="8" fontId="33" numFmtId="0" xfId="0" applyAlignment="1" applyFont="1">
      <alignment shrinkToFit="0" vertical="center" wrapText="0"/>
    </xf>
    <xf borderId="0" fillId="0" fontId="10" numFmtId="0" xfId="0" applyAlignment="1" applyFont="1">
      <alignment shrinkToFit="0" vertical="center" wrapText="0"/>
    </xf>
    <xf borderId="4" fillId="8" fontId="33" numFmtId="0" xfId="0" applyAlignment="1" applyBorder="1" applyFont="1">
      <alignment horizontal="right" readingOrder="0" shrinkToFit="0" vertical="center" wrapText="0"/>
    </xf>
    <xf borderId="0" fillId="8" fontId="33" numFmtId="0" xfId="0" applyAlignment="1" applyFont="1">
      <alignment shrinkToFit="0" vertical="center" wrapText="0"/>
    </xf>
    <xf borderId="0" fillId="8" fontId="33" numFmtId="0" xfId="0" applyAlignment="1" applyFont="1">
      <alignment horizontal="right" readingOrder="0" shrinkToFit="0" vertical="center" wrapText="0"/>
    </xf>
    <xf borderId="4" fillId="0" fontId="10" numFmtId="0" xfId="0" applyAlignment="1" applyBorder="1" applyFont="1">
      <alignment readingOrder="0" shrinkToFit="0" vertical="center" wrapText="0"/>
    </xf>
    <xf borderId="0" fillId="0" fontId="10" numFmtId="0" xfId="0" applyAlignment="1" applyFont="1">
      <alignment horizontal="right" readingOrder="0" shrinkToFit="0" vertical="center" wrapText="0"/>
    </xf>
    <xf borderId="0" fillId="0" fontId="10" numFmtId="0" xfId="0" applyAlignment="1" applyFont="1">
      <alignment readingOrder="0" shrinkToFit="0" vertical="center" wrapText="0"/>
    </xf>
    <xf borderId="0" fillId="8" fontId="33" numFmtId="0" xfId="0" applyAlignment="1" applyFont="1">
      <alignment horizontal="right" shrinkToFit="0" vertical="center" wrapText="0"/>
    </xf>
    <xf borderId="0" fillId="0" fontId="38" numFmtId="0" xfId="0" applyAlignment="1" applyFont="1">
      <alignment readingOrder="0" shrinkToFit="0" vertical="center" wrapText="0"/>
    </xf>
    <xf borderId="0" fillId="0" fontId="10" numFmtId="9" xfId="0" applyAlignment="1" applyFont="1" applyNumberFormat="1">
      <alignment readingOrder="0" shrinkToFit="0" vertical="center" wrapText="0"/>
    </xf>
    <xf borderId="0" fillId="0" fontId="10" numFmtId="9" xfId="0" applyAlignment="1" applyFont="1" applyNumberFormat="1">
      <alignment horizontal="right" readingOrder="0" shrinkToFit="0" vertical="center" wrapText="0"/>
    </xf>
    <xf borderId="0" fillId="0" fontId="10" numFmtId="0" xfId="0" applyAlignment="1" applyFont="1">
      <alignment shrinkToFit="0" vertical="center" wrapText="0"/>
    </xf>
    <xf borderId="0" fillId="0" fontId="39" numFmtId="0" xfId="0" applyAlignment="1" applyFont="1">
      <alignment readingOrder="0" shrinkToFit="0" vertical="center" wrapText="0"/>
    </xf>
    <xf borderId="16" fillId="0" fontId="40" numFmtId="0" xfId="0" applyAlignment="1" applyBorder="1" applyFont="1">
      <alignment readingOrder="0" shrinkToFit="0" vertical="center" wrapText="0"/>
    </xf>
    <xf borderId="17" fillId="0" fontId="10" numFmtId="0" xfId="0" applyAlignment="1" applyBorder="1" applyFont="1">
      <alignment readingOrder="0" shrinkToFit="0" vertical="center" wrapText="0"/>
    </xf>
    <xf borderId="0" fillId="9" fontId="33" numFmtId="9" xfId="0" applyAlignment="1" applyFont="1" applyNumberFormat="1">
      <alignment horizontal="right" readingOrder="0" shrinkToFit="0" vertical="center" wrapText="0"/>
    </xf>
    <xf borderId="4" fillId="9" fontId="33" numFmtId="0" xfId="0" applyAlignment="1" applyBorder="1" applyFont="1">
      <alignment horizontal="right" shrinkToFit="0" vertical="center" wrapText="0"/>
    </xf>
    <xf borderId="0" fillId="9" fontId="2" numFmtId="0" xfId="0" applyAlignment="1" applyFont="1">
      <alignment readingOrder="0" shrinkToFit="0" vertical="center" wrapText="0"/>
    </xf>
    <xf borderId="0" fillId="9" fontId="33" numFmtId="0" xfId="0" applyAlignment="1" applyFont="1">
      <alignment readingOrder="0" shrinkToFit="0" vertical="center" wrapText="0"/>
    </xf>
    <xf borderId="18" fillId="9" fontId="33" numFmtId="0" xfId="0" applyAlignment="1" applyBorder="1" applyFont="1">
      <alignment horizontal="right" readingOrder="0" shrinkToFit="0" vertical="center" wrapText="0"/>
    </xf>
    <xf borderId="19" fillId="9" fontId="2" numFmtId="0" xfId="0" applyAlignment="1" applyBorder="1" applyFont="1">
      <alignment shrinkToFit="0" vertical="center" wrapText="0"/>
    </xf>
    <xf borderId="19" fillId="9" fontId="33" numFmtId="0" xfId="0" applyAlignment="1" applyBorder="1" applyFont="1">
      <alignment horizontal="right" shrinkToFit="0" vertical="center" wrapText="0"/>
    </xf>
    <xf borderId="19" fillId="9" fontId="33" numFmtId="0" xfId="0" applyAlignment="1" applyBorder="1" applyFont="1">
      <alignment shrinkToFit="0" vertical="center" wrapText="0"/>
    </xf>
    <xf borderId="19" fillId="9" fontId="41" numFmtId="0" xfId="0" applyAlignment="1" applyBorder="1" applyFont="1">
      <alignment shrinkToFit="0" vertical="center" wrapText="0"/>
    </xf>
    <xf borderId="20" fillId="9" fontId="33" numFmtId="0" xfId="0" applyAlignment="1" applyBorder="1" applyFont="1">
      <alignment shrinkToFit="0" vertical="center" wrapText="0"/>
    </xf>
    <xf borderId="0" fillId="0" fontId="10" numFmtId="9" xfId="0" applyAlignment="1" applyFont="1" applyNumberFormat="1">
      <alignment horizontal="right" readingOrder="0" shrinkToFit="0" vertical="center" wrapText="0"/>
    </xf>
    <xf borderId="0" fillId="0" fontId="10" numFmtId="0" xfId="0" applyAlignment="1" applyFont="1">
      <alignment readingOrder="0" shrinkToFit="0" vertical="center" wrapText="0"/>
    </xf>
    <xf borderId="0" fillId="0" fontId="10" numFmtId="0" xfId="0" applyAlignment="1" applyFont="1">
      <alignment shrinkToFit="0" vertical="center" wrapText="0"/>
    </xf>
    <xf borderId="0" fillId="0" fontId="42" numFmtId="0" xfId="0" applyAlignment="1" applyFont="1">
      <alignment readingOrder="0" shrinkToFit="0" vertical="center" wrapText="0"/>
    </xf>
    <xf borderId="0" fillId="0" fontId="10" numFmtId="164" xfId="0" applyAlignment="1" applyFont="1" applyNumberFormat="1">
      <alignment shrinkToFit="0" vertical="center" wrapText="0"/>
    </xf>
    <xf borderId="4" fillId="0" fontId="10" numFmtId="0" xfId="0" applyAlignment="1" applyBorder="1" applyFont="1">
      <alignment readingOrder="0" shrinkToFit="0" vertical="center" wrapText="0"/>
    </xf>
    <xf borderId="21" fillId="0" fontId="10" numFmtId="0" xfId="0" applyAlignment="1" applyBorder="1" applyFont="1">
      <alignment readingOrder="0" shrinkToFit="0" vertical="center" wrapText="0"/>
    </xf>
    <xf borderId="16" fillId="0" fontId="10" numFmtId="0" xfId="0" applyAlignment="1" applyBorder="1" applyFont="1">
      <alignment readingOrder="0" shrinkToFit="0" vertical="center" wrapText="0"/>
    </xf>
    <xf borderId="16" fillId="0" fontId="10" numFmtId="0" xfId="0" applyAlignment="1" applyBorder="1" applyFont="1">
      <alignment readingOrder="0" shrinkToFit="0" vertical="center" wrapText="0"/>
    </xf>
    <xf borderId="16" fillId="0" fontId="10" numFmtId="9" xfId="0" applyAlignment="1" applyBorder="1" applyFont="1" applyNumberFormat="1">
      <alignment readingOrder="0" shrinkToFit="0" vertical="center" wrapText="0"/>
    </xf>
    <xf borderId="16" fillId="0" fontId="10" numFmtId="0" xfId="0" applyAlignment="1" applyBorder="1" applyFont="1">
      <alignment shrinkToFit="0" vertical="center" wrapText="0"/>
    </xf>
    <xf borderId="16" fillId="0" fontId="43" numFmtId="0" xfId="0" applyAlignment="1" applyBorder="1" applyFont="1">
      <alignment readingOrder="0" shrinkToFit="0" vertical="center" wrapText="0"/>
    </xf>
    <xf borderId="17" fillId="0" fontId="10" numFmtId="0" xfId="0" applyAlignment="1" applyBorder="1" applyFont="1">
      <alignment readingOrder="0" shrinkToFit="0" vertical="center" wrapText="0"/>
    </xf>
    <xf borderId="22" fillId="0" fontId="10" numFmtId="0" xfId="0" applyAlignment="1" applyBorder="1" applyFont="1">
      <alignment readingOrder="0" shrinkToFit="0" vertical="center" wrapText="0"/>
    </xf>
    <xf borderId="16" fillId="0" fontId="10" numFmtId="0" xfId="0" applyAlignment="1" applyBorder="1" applyFont="1">
      <alignment shrinkToFit="0" vertical="center" wrapText="0"/>
    </xf>
    <xf borderId="16" fillId="0" fontId="10" numFmtId="0" xfId="0" applyAlignment="1" applyBorder="1" applyFont="1">
      <alignment readingOrder="0" shrinkToFit="0" vertical="center" wrapText="0"/>
    </xf>
    <xf borderId="17" fillId="0" fontId="10" numFmtId="0" xfId="0" applyAlignment="1" applyBorder="1" applyFont="1">
      <alignment shrinkToFit="0" vertical="center" wrapText="0"/>
    </xf>
    <xf borderId="16" fillId="0" fontId="10" numFmtId="9" xfId="0" applyAlignment="1" applyBorder="1" applyFont="1" applyNumberFormat="1">
      <alignment horizontal="right" readingOrder="0" shrinkToFit="0" vertical="center" wrapText="0"/>
    </xf>
    <xf borderId="23" fillId="0" fontId="10" numFmtId="0" xfId="0" applyAlignment="1" applyBorder="1" applyFont="1">
      <alignment shrinkToFit="0" vertical="center" wrapText="0"/>
    </xf>
    <xf borderId="24" fillId="0" fontId="10" numFmtId="0" xfId="0" applyAlignment="1" applyBorder="1" applyFont="1">
      <alignment readingOrder="0" shrinkToFit="0" vertical="center" wrapText="0"/>
    </xf>
    <xf borderId="25" fillId="0" fontId="10" numFmtId="0" xfId="0" applyAlignment="1" applyBorder="1" applyFont="1">
      <alignment readingOrder="0" shrinkToFit="0" vertical="center" wrapText="0"/>
    </xf>
    <xf borderId="25" fillId="0" fontId="10" numFmtId="0" xfId="0" applyAlignment="1" applyBorder="1" applyFont="1">
      <alignment readingOrder="0" shrinkToFit="0" vertical="center" wrapText="0"/>
    </xf>
    <xf borderId="25" fillId="0" fontId="10" numFmtId="9" xfId="0" applyAlignment="1" applyBorder="1" applyFont="1" applyNumberFormat="1">
      <alignment readingOrder="0" shrinkToFit="0" vertical="center" wrapText="0"/>
    </xf>
    <xf borderId="26" fillId="0" fontId="10" numFmtId="0" xfId="0" applyAlignment="1" applyBorder="1" applyFont="1">
      <alignment readingOrder="0" shrinkToFit="0" vertical="center" wrapText="0"/>
    </xf>
    <xf borderId="25" fillId="0" fontId="10" numFmtId="0" xfId="0" applyAlignment="1" applyBorder="1" applyFont="1">
      <alignment shrinkToFit="0" vertical="center" wrapText="0"/>
    </xf>
    <xf borderId="25" fillId="0" fontId="10" numFmtId="0" xfId="0" applyAlignment="1" applyBorder="1" applyFont="1">
      <alignment readingOrder="0" shrinkToFit="0" vertical="center" wrapText="0"/>
    </xf>
    <xf borderId="27" fillId="0" fontId="10" numFmtId="0" xfId="0" applyAlignment="1" applyBorder="1" applyFont="1">
      <alignment shrinkToFit="0" vertical="center" wrapText="0"/>
    </xf>
    <xf borderId="25" fillId="0" fontId="10" numFmtId="0" xfId="0" applyAlignment="1" applyBorder="1" applyFont="1">
      <alignment horizontal="right" readingOrder="0" shrinkToFit="0" vertical="center" wrapText="0"/>
    </xf>
    <xf borderId="25" fillId="0" fontId="44" numFmtId="0" xfId="0" applyAlignment="1" applyBorder="1" applyFont="1">
      <alignment readingOrder="0" shrinkToFit="0" vertical="center" wrapText="0"/>
    </xf>
    <xf borderId="28" fillId="0" fontId="10" numFmtId="0" xfId="0" applyAlignment="1" applyBorder="1" applyFont="1">
      <alignment readingOrder="0" shrinkToFit="0" vertical="center" wrapText="0"/>
    </xf>
    <xf borderId="21" fillId="0" fontId="10" numFmtId="0" xfId="0" applyAlignment="1" applyBorder="1" applyFont="1">
      <alignment readingOrder="0" shrinkToFit="0" vertical="center" wrapText="0"/>
    </xf>
    <xf borderId="16" fillId="0" fontId="10" numFmtId="0" xfId="0" applyAlignment="1" applyBorder="1" applyFont="1">
      <alignment readingOrder="0" shrinkToFit="0" vertical="center" wrapText="0"/>
    </xf>
    <xf borderId="16" fillId="0" fontId="10" numFmtId="0" xfId="0" applyAlignment="1" applyBorder="1" applyFont="1">
      <alignment readingOrder="0" shrinkToFit="0" vertical="center" wrapText="0"/>
    </xf>
    <xf borderId="0" fillId="0" fontId="10" numFmtId="9" xfId="0" applyAlignment="1" applyFont="1" applyNumberFormat="1">
      <alignment readingOrder="0" shrinkToFit="0" vertical="center" wrapText="0"/>
    </xf>
    <xf borderId="0" fillId="0" fontId="10" numFmtId="3" xfId="0" applyAlignment="1" applyFont="1" applyNumberFormat="1">
      <alignment horizontal="right" readingOrder="0" shrinkToFit="0" vertical="center" wrapText="0"/>
    </xf>
    <xf borderId="29" fillId="0" fontId="10" numFmtId="0" xfId="0" applyAlignment="1" applyBorder="1" applyFont="1">
      <alignment shrinkToFit="0" vertical="center" wrapText="0"/>
    </xf>
    <xf borderId="16" fillId="0" fontId="10" numFmtId="164" xfId="0" applyAlignment="1" applyBorder="1" applyFont="1" applyNumberFormat="1">
      <alignment shrinkToFit="0" vertical="center" wrapText="0"/>
    </xf>
    <xf borderId="16" fillId="0" fontId="10" numFmtId="0" xfId="0" applyAlignment="1" applyBorder="1" applyFont="1">
      <alignment readingOrder="0" shrinkToFit="0" vertical="center" wrapText="0"/>
    </xf>
    <xf borderId="17" fillId="0" fontId="10" numFmtId="0" xfId="0" applyAlignment="1" applyBorder="1" applyFont="1">
      <alignment readingOrder="0" shrinkToFit="0" vertical="center" wrapText="0"/>
    </xf>
    <xf borderId="22" fillId="0" fontId="10" numFmtId="0" xfId="0" applyAlignment="1" applyBorder="1" applyFont="1">
      <alignment readingOrder="0" shrinkToFit="0" vertical="center" wrapText="0"/>
    </xf>
    <xf borderId="16" fillId="0" fontId="10" numFmtId="0" xfId="0" applyAlignment="1" applyBorder="1" applyFont="1">
      <alignment shrinkToFit="0" vertical="center" wrapText="0"/>
    </xf>
    <xf borderId="17" fillId="0" fontId="10" numFmtId="0" xfId="0" applyAlignment="1" applyBorder="1" applyFont="1">
      <alignment shrinkToFit="0" vertical="center" wrapText="0"/>
    </xf>
    <xf borderId="16" fillId="0" fontId="10" numFmtId="3" xfId="0" applyAlignment="1" applyBorder="1" applyFont="1" applyNumberFormat="1">
      <alignment horizontal="right" readingOrder="0" shrinkToFit="0" vertical="center" wrapText="0"/>
    </xf>
    <xf borderId="23" fillId="0" fontId="10" numFmtId="0" xfId="0" applyAlignment="1" applyBorder="1" applyFont="1">
      <alignment shrinkToFit="0" vertical="center" wrapText="0"/>
    </xf>
    <xf borderId="30" fillId="0" fontId="10" numFmtId="0" xfId="0" applyAlignment="1" applyBorder="1" applyFont="1">
      <alignment readingOrder="0" shrinkToFit="0" vertical="center" wrapText="0"/>
    </xf>
    <xf borderId="31" fillId="0" fontId="10" numFmtId="0" xfId="0" applyAlignment="1" applyBorder="1" applyFont="1">
      <alignment readingOrder="0" shrinkToFit="0" vertical="center" wrapText="0"/>
    </xf>
    <xf borderId="31" fillId="0" fontId="10" numFmtId="0" xfId="0" applyAlignment="1" applyBorder="1" applyFont="1">
      <alignment readingOrder="0" shrinkToFit="0" vertical="center" wrapText="0"/>
    </xf>
    <xf borderId="31" fillId="0" fontId="10" numFmtId="0" xfId="0" applyAlignment="1" applyBorder="1" applyFont="1">
      <alignment readingOrder="0" shrinkToFit="0" vertical="center" wrapText="0"/>
    </xf>
    <xf borderId="31" fillId="0" fontId="10" numFmtId="164" xfId="0" applyAlignment="1" applyBorder="1" applyFont="1" applyNumberFormat="1">
      <alignment shrinkToFit="0" vertical="center" wrapText="0"/>
    </xf>
    <xf borderId="31" fillId="0" fontId="10" numFmtId="0" xfId="0" applyAlignment="1" applyBorder="1" applyFont="1">
      <alignment readingOrder="0" shrinkToFit="0" vertical="center" wrapText="0"/>
    </xf>
    <xf borderId="31" fillId="0" fontId="10" numFmtId="0" xfId="0" applyAlignment="1" applyBorder="1" applyFont="1">
      <alignment shrinkToFit="0" vertical="center" wrapText="0"/>
    </xf>
    <xf borderId="31" fillId="0" fontId="45" numFmtId="0" xfId="0" applyAlignment="1" applyBorder="1" applyFont="1">
      <alignment readingOrder="0" shrinkToFit="0" vertical="center" wrapText="0"/>
    </xf>
    <xf borderId="32" fillId="0" fontId="10" numFmtId="0" xfId="0" applyAlignment="1" applyBorder="1" applyFont="1">
      <alignment shrinkToFit="0" vertical="center" wrapText="0"/>
    </xf>
    <xf borderId="33" fillId="0" fontId="10" numFmtId="0" xfId="0" applyAlignment="1" applyBorder="1" applyFont="1">
      <alignment readingOrder="0" shrinkToFit="0" vertical="center" wrapText="0"/>
    </xf>
    <xf borderId="31" fillId="0" fontId="10" numFmtId="0" xfId="0" applyAlignment="1" applyBorder="1" applyFont="1">
      <alignment shrinkToFit="0" vertical="center" wrapText="0"/>
    </xf>
    <xf borderId="33" fillId="0" fontId="10" numFmtId="0" xfId="0" applyAlignment="1" applyBorder="1" applyFont="1">
      <alignment readingOrder="0" shrinkToFit="0" vertical="center" wrapText="0"/>
    </xf>
    <xf borderId="31" fillId="0" fontId="10" numFmtId="3" xfId="0" applyAlignment="1" applyBorder="1" applyFont="1" applyNumberFormat="1">
      <alignment horizontal="right" readingOrder="0" shrinkToFit="0" vertical="center" wrapText="0"/>
    </xf>
    <xf borderId="34" fillId="0" fontId="10" numFmtId="0" xfId="0" applyAlignment="1" applyBorder="1" applyFont="1">
      <alignment shrinkToFit="0" vertical="center" wrapText="0"/>
    </xf>
    <xf borderId="0" fillId="0" fontId="10" numFmtId="164" xfId="0" applyAlignment="1" applyFont="1" applyNumberFormat="1">
      <alignment readingOrder="0" shrinkToFit="0" vertical="center" wrapText="0"/>
    </xf>
    <xf borderId="0" fillId="0" fontId="10" numFmtId="3" xfId="0" applyAlignment="1" applyFont="1" applyNumberFormat="1">
      <alignment horizontal="right" readingOrder="0" shrinkToFit="0" vertical="center" wrapText="0"/>
    </xf>
    <xf borderId="4" fillId="0" fontId="10" numFmtId="0" xfId="0" applyAlignment="1" applyBorder="1" applyFont="1">
      <alignment shrinkToFit="0" vertical="center" wrapText="0"/>
    </xf>
    <xf borderId="16" fillId="0" fontId="10" numFmtId="0" xfId="0" applyAlignment="1" applyBorder="1" applyFont="1">
      <alignment readingOrder="0" shrinkToFit="0" vertical="center" wrapText="0"/>
    </xf>
    <xf borderId="22" fillId="8" fontId="33" numFmtId="0" xfId="0" applyAlignment="1" applyBorder="1" applyFont="1">
      <alignment horizontal="right" readingOrder="0" shrinkToFit="0" vertical="center" wrapText="0"/>
    </xf>
    <xf borderId="16" fillId="8" fontId="33" numFmtId="0" xfId="0" applyAlignment="1" applyBorder="1" applyFont="1">
      <alignment readingOrder="0" shrinkToFit="0" vertical="center" wrapText="0"/>
    </xf>
    <xf borderId="16" fillId="8" fontId="33" numFmtId="9" xfId="0" applyAlignment="1" applyBorder="1" applyFont="1" applyNumberFormat="1">
      <alignment horizontal="right" readingOrder="0" shrinkToFit="0" vertical="center" wrapText="0"/>
    </xf>
    <xf borderId="16" fillId="8" fontId="33" numFmtId="0" xfId="0" applyAlignment="1" applyBorder="1" applyFont="1">
      <alignment shrinkToFit="0" vertical="center" wrapText="0"/>
    </xf>
    <xf borderId="16" fillId="8" fontId="33" numFmtId="0" xfId="0" applyAlignment="1" applyBorder="1" applyFont="1">
      <alignment shrinkToFit="0" vertical="center" wrapText="0"/>
    </xf>
    <xf borderId="17" fillId="8" fontId="33" numFmtId="0" xfId="0" applyAlignment="1" applyBorder="1" applyFont="1">
      <alignment readingOrder="0" shrinkToFit="0" vertical="center" wrapText="0"/>
    </xf>
    <xf borderId="0" fillId="0" fontId="10" numFmtId="0" xfId="0" applyAlignment="1" applyFont="1">
      <alignment readingOrder="0" shrinkToFit="0" vertical="center" wrapText="0"/>
    </xf>
    <xf borderId="0" fillId="9" fontId="33" numFmtId="10" xfId="0" applyAlignment="1" applyFont="1" applyNumberFormat="1">
      <alignment horizontal="right" readingOrder="0" shrinkToFit="0" vertical="center" wrapText="0"/>
    </xf>
    <xf borderId="0" fillId="0" fontId="10" numFmtId="0" xfId="0" applyAlignment="1" applyFont="1">
      <alignment horizontal="right" readingOrder="0" shrinkToFit="0" vertical="center" wrapText="0"/>
    </xf>
    <xf borderId="0" fillId="0" fontId="10" numFmtId="10" xfId="0" applyAlignment="1" applyFont="1" applyNumberFormat="1">
      <alignment readingOrder="0" shrinkToFit="0" vertical="center" wrapText="0"/>
    </xf>
    <xf borderId="22" fillId="8" fontId="33" numFmtId="0" xfId="0" applyAlignment="1" applyBorder="1" applyFont="1">
      <alignment horizontal="right" shrinkToFit="0" vertical="center" wrapText="0"/>
    </xf>
    <xf borderId="16" fillId="8" fontId="33" numFmtId="0" xfId="0" applyAlignment="1" applyBorder="1" applyFont="1">
      <alignment shrinkToFit="0" vertical="center" wrapText="0"/>
    </xf>
    <xf borderId="16" fillId="8" fontId="33" numFmtId="9" xfId="0" applyAlignment="1" applyBorder="1" applyFont="1" applyNumberFormat="1">
      <alignment horizontal="right" shrinkToFit="0" vertical="center" wrapText="0"/>
    </xf>
    <xf borderId="16" fillId="8" fontId="33" numFmtId="0" xfId="0" applyAlignment="1" applyBorder="1" applyFont="1">
      <alignment readingOrder="0" shrinkToFit="0" vertical="center" wrapText="0"/>
    </xf>
    <xf borderId="17" fillId="8" fontId="33" numFmtId="0" xfId="0" applyAlignment="1" applyBorder="1" applyFont="1">
      <alignment readingOrder="0" shrinkToFit="0" vertical="center" wrapText="0"/>
    </xf>
    <xf borderId="21" fillId="8" fontId="33" numFmtId="0" xfId="0" applyAlignment="1" applyBorder="1" applyFont="1">
      <alignment shrinkToFit="0" vertical="center" wrapText="0"/>
    </xf>
    <xf borderId="16" fillId="8" fontId="34" numFmtId="0" xfId="0" applyAlignment="1" applyBorder="1" applyFont="1">
      <alignment shrinkToFit="0" vertical="center" wrapText="0"/>
    </xf>
    <xf borderId="0" fillId="8" fontId="33" numFmtId="0" xfId="0" applyAlignment="1" applyFont="1">
      <alignment readingOrder="0" shrinkToFit="0" vertical="center" wrapText="0"/>
    </xf>
    <xf borderId="0" fillId="8" fontId="34" numFmtId="0" xfId="0" applyAlignment="1" applyFont="1">
      <alignment readingOrder="0" shrinkToFit="0" vertical="center" wrapText="0"/>
    </xf>
    <xf borderId="0" fillId="8" fontId="33" numFmtId="0" xfId="0" applyAlignment="1" applyFont="1">
      <alignment readingOrder="0" shrinkToFit="0" vertical="center" wrapText="0"/>
    </xf>
    <xf borderId="0" fillId="0" fontId="2" numFmtId="0" xfId="0" applyAlignment="1" applyFont="1">
      <alignment horizontal="right" shrinkToFit="0" vertical="bottom" wrapText="0"/>
    </xf>
    <xf borderId="0" fillId="0" fontId="2" numFmtId="0" xfId="0" applyAlignment="1" applyFont="1">
      <alignment readingOrder="0" shrinkToFit="0" vertical="bottom" wrapText="0"/>
    </xf>
    <xf borderId="0" fillId="8" fontId="2" numFmtId="9" xfId="0" applyAlignment="1" applyFont="1" applyNumberFormat="1">
      <alignment readingOrder="0" shrinkToFit="0" vertical="center" wrapText="0"/>
    </xf>
    <xf borderId="0" fillId="8" fontId="2" numFmtId="0" xfId="0" applyAlignment="1" applyFont="1">
      <alignment readingOrder="0" shrinkToFit="0" vertical="center" wrapText="0"/>
    </xf>
    <xf borderId="0" fillId="0" fontId="2" numFmtId="0" xfId="0" applyAlignment="1" applyFont="1">
      <alignment readingOrder="0" shrinkToFit="0" vertical="bottom" wrapText="0"/>
    </xf>
    <xf borderId="0" fillId="0" fontId="2" numFmtId="0" xfId="0" applyAlignment="1" applyFont="1">
      <alignment shrinkToFit="0" vertical="bottom" wrapText="0"/>
    </xf>
    <xf borderId="4" fillId="8" fontId="2" numFmtId="0" xfId="0" applyAlignment="1" applyBorder="1" applyFont="1">
      <alignment readingOrder="0" shrinkToFit="0" vertical="center" wrapText="0"/>
    </xf>
    <xf borderId="0" fillId="8" fontId="2" numFmtId="0" xfId="0" applyAlignment="1" applyFont="1">
      <alignment shrinkToFit="0" vertical="center" wrapText="0"/>
    </xf>
    <xf borderId="4" fillId="8" fontId="33" numFmtId="0" xfId="0" applyAlignment="1" applyBorder="1" applyFont="1">
      <alignment horizontal="right" shrinkToFit="0" vertical="center" wrapText="0"/>
    </xf>
    <xf borderId="0" fillId="8" fontId="46" numFmtId="0" xfId="0" applyAlignment="1" applyFont="1">
      <alignment shrinkToFit="0" vertical="center" wrapText="0"/>
    </xf>
    <xf borderId="0" fillId="0" fontId="2" numFmtId="0" xfId="0" applyAlignment="1" applyFont="1">
      <alignment shrinkToFit="0" vertical="bottom" wrapText="0"/>
    </xf>
    <xf borderId="4" fillId="8" fontId="2" numFmtId="0" xfId="0" applyAlignment="1" applyBorder="1" applyFont="1">
      <alignment shrinkToFit="0" vertical="center" wrapText="0"/>
    </xf>
    <xf borderId="0" fillId="8" fontId="33" numFmtId="9" xfId="0" applyAlignment="1" applyFont="1" applyNumberFormat="1">
      <alignment readingOrder="0" shrinkToFit="0" vertical="center" wrapText="0"/>
    </xf>
    <xf borderId="0" fillId="0" fontId="2" numFmtId="0" xfId="0" applyAlignment="1" applyFont="1">
      <alignment readingOrder="0" shrinkToFit="0" vertical="bottom" wrapText="0"/>
    </xf>
    <xf borderId="0" fillId="0" fontId="2" numFmtId="0" xfId="0" applyAlignment="1" applyFont="1">
      <alignment horizontal="right" readingOrder="0" shrinkToFit="0" vertical="bottom" wrapText="0"/>
    </xf>
    <xf borderId="0" fillId="0" fontId="2" numFmtId="0" xfId="0" applyAlignment="1" applyFont="1">
      <alignment shrinkToFit="0" vertical="bottom" wrapText="0"/>
    </xf>
    <xf borderId="0" fillId="8" fontId="47" numFmtId="0" xfId="0" applyAlignment="1" applyFont="1">
      <alignment readingOrder="0" shrinkToFit="0" vertical="center" wrapText="0"/>
    </xf>
    <xf borderId="0" fillId="8" fontId="2" numFmtId="0" xfId="0" applyAlignment="1" applyFont="1">
      <alignment readingOrder="0" shrinkToFit="0" vertical="center" wrapText="0"/>
    </xf>
    <xf borderId="0" fillId="8" fontId="33" numFmtId="0" xfId="0" applyAlignment="1" applyFont="1">
      <alignment shrinkToFit="0" vertical="center" wrapText="0"/>
    </xf>
    <xf borderId="0" fillId="8" fontId="33" numFmtId="0" xfId="0" applyAlignment="1" applyFont="1">
      <alignment horizontal="right" shrinkToFit="0" vertical="center" wrapText="0"/>
    </xf>
    <xf borderId="0" fillId="8" fontId="33" numFmtId="0" xfId="0" applyAlignment="1" applyFont="1">
      <alignment shrinkToFit="0" vertical="center" wrapText="0"/>
    </xf>
    <xf borderId="0" fillId="8" fontId="33" numFmtId="9" xfId="0" applyAlignment="1" applyFont="1" applyNumberFormat="1">
      <alignment horizontal="right" shrinkToFit="0" vertical="center" wrapText="0"/>
    </xf>
    <xf borderId="0" fillId="8" fontId="48" numFmtId="0" xfId="0" applyAlignment="1" applyFont="1">
      <alignment shrinkToFit="0" vertical="center" wrapText="0"/>
    </xf>
    <xf borderId="0" fillId="9" fontId="47" numFmtId="0" xfId="0" applyAlignment="1" applyFont="1">
      <alignment readingOrder="0" shrinkToFit="0" vertical="center" wrapText="0"/>
    </xf>
    <xf borderId="0" fillId="9" fontId="33" numFmtId="0" xfId="0" applyAlignment="1" applyFont="1">
      <alignment shrinkToFit="0" vertical="center" wrapText="0"/>
    </xf>
    <xf borderId="0" fillId="9" fontId="33" numFmtId="0" xfId="0" applyAlignment="1" applyFont="1">
      <alignment shrinkToFit="0" vertical="center" wrapText="0"/>
    </xf>
    <xf borderId="0" fillId="9" fontId="33" numFmtId="0" xfId="0" applyAlignment="1" applyFont="1">
      <alignment shrinkToFit="0" vertical="center" wrapText="0"/>
    </xf>
    <xf borderId="0" fillId="9" fontId="33" numFmtId="9" xfId="0" applyAlignment="1" applyFont="1" applyNumberFormat="1">
      <alignment horizontal="right" shrinkToFit="0" vertical="center" wrapText="0"/>
    </xf>
    <xf borderId="4" fillId="9" fontId="2" numFmtId="0" xfId="0" applyAlignment="1" applyBorder="1" applyFont="1">
      <alignment shrinkToFit="0" vertical="center" wrapText="0"/>
    </xf>
    <xf borderId="0" fillId="9" fontId="34" numFmtId="0" xfId="0" applyAlignment="1" applyFont="1">
      <alignment shrinkToFit="0" vertical="center" wrapText="0"/>
    </xf>
    <xf borderId="0" fillId="9" fontId="33" numFmtId="0" xfId="0" applyAlignment="1" applyFont="1">
      <alignment readingOrder="0" shrinkToFit="0" vertical="center" wrapText="0"/>
    </xf>
    <xf borderId="0" fillId="9" fontId="49" numFmtId="0" xfId="0" applyAlignment="1" applyFont="1">
      <alignment shrinkToFit="0" vertical="center" wrapText="0"/>
    </xf>
    <xf borderId="0" fillId="8" fontId="33" numFmtId="0" xfId="0" applyAlignment="1" applyFont="1">
      <alignment shrinkToFit="0" vertical="center" wrapText="0"/>
    </xf>
    <xf borderId="0" fillId="8" fontId="49" numFmtId="0" xfId="0" applyAlignment="1" applyFont="1">
      <alignment readingOrder="0" shrinkToFit="0" vertical="center" wrapText="0"/>
    </xf>
    <xf borderId="0" fillId="9" fontId="49" numFmtId="0" xfId="0" applyAlignment="1" applyFont="1">
      <alignment readingOrder="0" shrinkToFit="0" vertical="center" wrapText="0"/>
    </xf>
    <xf borderId="0" fillId="8" fontId="34" numFmtId="0" xfId="0" applyAlignment="1" applyFont="1">
      <alignment shrinkToFit="0" vertical="center" wrapText="0"/>
    </xf>
    <xf borderId="0" fillId="8" fontId="33" numFmtId="0" xfId="0" applyAlignment="1" applyFont="1">
      <alignment readingOrder="0" shrinkToFit="0" vertical="center" wrapText="0"/>
    </xf>
    <xf borderId="0" fillId="9" fontId="2" numFmtId="0" xfId="0" applyAlignment="1" applyFont="1">
      <alignment shrinkToFit="0" vertical="center" wrapText="0"/>
    </xf>
    <xf borderId="22" fillId="8" fontId="33" numFmtId="0" xfId="0" applyAlignment="1" applyBorder="1" applyFont="1">
      <alignment horizontal="right" shrinkToFit="0" vertical="center" wrapText="0"/>
    </xf>
    <xf borderId="16" fillId="8" fontId="33" numFmtId="0" xfId="0" applyAlignment="1" applyBorder="1" applyFont="1">
      <alignment shrinkToFit="0" vertical="center" wrapText="0"/>
    </xf>
    <xf borderId="16" fillId="8" fontId="2" numFmtId="0" xfId="0" applyAlignment="1" applyBorder="1" applyFont="1">
      <alignment shrinkToFit="0" vertical="center" wrapText="0"/>
    </xf>
    <xf borderId="0" fillId="9" fontId="2" numFmtId="9" xfId="0" applyAlignment="1" applyFont="1" applyNumberFormat="1">
      <alignment shrinkToFit="0" vertical="center" wrapText="0"/>
    </xf>
    <xf borderId="0" fillId="8" fontId="49" numFmtId="0" xfId="0" applyAlignment="1" applyFont="1">
      <alignment shrinkToFit="0" vertical="center" wrapText="0"/>
    </xf>
    <xf borderId="0" fillId="0" fontId="34" numFmtId="0" xfId="0" applyAlignment="1" applyFont="1">
      <alignment readingOrder="0" shrinkToFit="0" vertical="center" wrapText="0"/>
    </xf>
    <xf borderId="0" fillId="8" fontId="50" numFmtId="0" xfId="0" applyAlignment="1" applyFont="1">
      <alignment readingOrder="0" shrinkToFit="0" vertical="center" wrapText="0"/>
    </xf>
    <xf borderId="21" fillId="8" fontId="33" numFmtId="0" xfId="0" applyAlignment="1" applyBorder="1" applyFont="1">
      <alignment readingOrder="0" shrinkToFit="0" vertical="center" wrapText="0"/>
    </xf>
    <xf borderId="16" fillId="8" fontId="34" numFmtId="0" xfId="0" applyAlignment="1" applyBorder="1" applyFont="1">
      <alignment readingOrder="0" shrinkToFit="0" vertical="center" wrapText="0"/>
    </xf>
    <xf borderId="16" fillId="8" fontId="33" numFmtId="0" xfId="0" applyAlignment="1" applyBorder="1" applyFont="1">
      <alignment readingOrder="0" shrinkToFit="0" vertical="center" wrapText="0"/>
    </xf>
    <xf borderId="16" fillId="0" fontId="2" numFmtId="0" xfId="0" applyAlignment="1" applyBorder="1" applyFont="1">
      <alignment horizontal="right" readingOrder="0" shrinkToFit="0" vertical="bottom" wrapText="0"/>
    </xf>
    <xf borderId="16" fillId="8" fontId="33" numFmtId="0" xfId="0" applyAlignment="1" applyBorder="1" applyFont="1">
      <alignment horizontal="right" readingOrder="0" shrinkToFit="0" vertical="center" wrapText="0"/>
    </xf>
    <xf borderId="16" fillId="0" fontId="2" numFmtId="0" xfId="0" applyAlignment="1" applyBorder="1" applyFont="1">
      <alignment readingOrder="0" shrinkToFit="0" vertical="bottom" wrapText="0"/>
    </xf>
    <xf borderId="16" fillId="8" fontId="2" numFmtId="0" xfId="0" applyAlignment="1" applyBorder="1" applyFont="1">
      <alignment readingOrder="0" shrinkToFit="0" vertical="center" wrapText="0"/>
    </xf>
    <xf borderId="16" fillId="0" fontId="2" numFmtId="0" xfId="0" applyAlignment="1" applyBorder="1" applyFont="1">
      <alignment shrinkToFit="0" vertical="bottom" wrapText="0"/>
    </xf>
    <xf borderId="16" fillId="0" fontId="2" numFmtId="0" xfId="0" applyAlignment="1" applyBorder="1" applyFont="1">
      <alignment readingOrder="0" shrinkToFit="0" vertical="bottom" wrapText="0"/>
    </xf>
    <xf borderId="22" fillId="8" fontId="2" numFmtId="0" xfId="0" applyAlignment="1" applyBorder="1" applyFont="1">
      <alignment shrinkToFit="0" vertical="center" wrapText="0"/>
    </xf>
    <xf borderId="17" fillId="8" fontId="2" numFmtId="0" xfId="0" applyAlignment="1" applyBorder="1" applyFont="1">
      <alignment shrinkToFit="0" vertical="center" wrapText="0"/>
    </xf>
    <xf borderId="24" fillId="8" fontId="33" numFmtId="0" xfId="0" applyAlignment="1" applyBorder="1" applyFont="1">
      <alignment readingOrder="0" shrinkToFit="0" vertical="center" wrapText="0"/>
    </xf>
    <xf borderId="25" fillId="8" fontId="34" numFmtId="0" xfId="0" applyAlignment="1" applyBorder="1" applyFont="1">
      <alignment readingOrder="0" shrinkToFit="0" vertical="center" wrapText="0"/>
    </xf>
    <xf borderId="25" fillId="8" fontId="33" numFmtId="0" xfId="0" applyAlignment="1" applyBorder="1" applyFont="1">
      <alignment readingOrder="0" shrinkToFit="0" vertical="center" wrapText="0"/>
    </xf>
    <xf borderId="25" fillId="0" fontId="2" numFmtId="0" xfId="0" applyAlignment="1" applyBorder="1" applyFont="1">
      <alignment horizontal="right" readingOrder="0" shrinkToFit="0" vertical="bottom" wrapText="0"/>
    </xf>
    <xf borderId="25" fillId="8" fontId="33" numFmtId="0" xfId="0" applyAlignment="1" applyBorder="1" applyFont="1">
      <alignment horizontal="right" readingOrder="0" shrinkToFit="0" vertical="center" wrapText="0"/>
    </xf>
    <xf borderId="25" fillId="0" fontId="2" numFmtId="0" xfId="0" applyAlignment="1" applyBorder="1" applyFont="1">
      <alignment readingOrder="0" shrinkToFit="0" vertical="bottom" wrapText="0"/>
    </xf>
    <xf borderId="25" fillId="8" fontId="2" numFmtId="9" xfId="0" applyAlignment="1" applyBorder="1" applyFont="1" applyNumberFormat="1">
      <alignment readingOrder="0" shrinkToFit="0" vertical="center" wrapText="0"/>
    </xf>
    <xf borderId="25" fillId="8" fontId="2" numFmtId="0" xfId="0" applyAlignment="1" applyBorder="1" applyFont="1">
      <alignment readingOrder="0" shrinkToFit="0" vertical="center" wrapText="0"/>
    </xf>
    <xf borderId="25" fillId="0" fontId="2" numFmtId="0" xfId="0" applyAlignment="1" applyBorder="1" applyFont="1">
      <alignment shrinkToFit="0" vertical="bottom" wrapText="0"/>
    </xf>
    <xf borderId="25" fillId="0" fontId="2" numFmtId="0" xfId="0" applyAlignment="1" applyBorder="1" applyFont="1">
      <alignment readingOrder="0" shrinkToFit="0" vertical="bottom" wrapText="0"/>
    </xf>
    <xf borderId="27" fillId="8" fontId="33" numFmtId="0" xfId="0" applyAlignment="1" applyBorder="1" applyFont="1">
      <alignment readingOrder="0" shrinkToFit="0" vertical="center" wrapText="0"/>
    </xf>
    <xf borderId="26" fillId="8" fontId="2" numFmtId="0" xfId="0" applyAlignment="1" applyBorder="1" applyFont="1">
      <alignment shrinkToFit="0" vertical="center" wrapText="0"/>
    </xf>
    <xf borderId="25" fillId="8" fontId="2" numFmtId="0" xfId="0" applyAlignment="1" applyBorder="1" applyFont="1">
      <alignment shrinkToFit="0" vertical="center" wrapText="0"/>
    </xf>
    <xf borderId="27" fillId="8" fontId="2" numFmtId="0" xfId="0" applyAlignment="1" applyBorder="1" applyFont="1">
      <alignment shrinkToFit="0" vertical="center" wrapText="0"/>
    </xf>
    <xf borderId="26" fillId="8" fontId="33" numFmtId="0" xfId="0" applyAlignment="1" applyBorder="1" applyFont="1">
      <alignment horizontal="right" shrinkToFit="0" vertical="center" wrapText="0"/>
    </xf>
    <xf borderId="25" fillId="8" fontId="33" numFmtId="0" xfId="0" applyAlignment="1" applyBorder="1" applyFont="1">
      <alignment shrinkToFit="0" vertical="center" wrapText="0"/>
    </xf>
    <xf borderId="0" fillId="0" fontId="51" numFmtId="0" xfId="0" applyAlignment="1" applyFont="1">
      <alignment readingOrder="0" shrinkToFit="0" vertical="center" wrapText="0"/>
    </xf>
    <xf borderId="25" fillId="8" fontId="52" numFmtId="0" xfId="0" applyAlignment="1" applyBorder="1" applyFont="1">
      <alignment readingOrder="0" shrinkToFit="0" vertical="center" wrapText="0"/>
    </xf>
    <xf borderId="25" fillId="8" fontId="2" numFmtId="0" xfId="0" applyAlignment="1" applyBorder="1" applyFont="1">
      <alignment readingOrder="0" shrinkToFit="0" vertical="center" wrapText="0"/>
    </xf>
    <xf borderId="25" fillId="0" fontId="51" numFmtId="0" xfId="0" applyAlignment="1" applyBorder="1" applyFont="1">
      <alignment readingOrder="0" shrinkToFit="0" vertical="center" wrapText="0"/>
    </xf>
    <xf borderId="25" fillId="8" fontId="53" numFmtId="0" xfId="0" applyAlignment="1" applyBorder="1" applyFont="1">
      <alignment shrinkToFit="0" vertical="center" wrapText="0"/>
    </xf>
    <xf borderId="28" fillId="8" fontId="33" numFmtId="0" xfId="0" applyAlignment="1" applyBorder="1" applyFont="1">
      <alignment shrinkToFit="0" vertical="center" wrapText="0"/>
    </xf>
    <xf borderId="16" fillId="8" fontId="2" numFmtId="0" xfId="0" applyAlignment="1" applyBorder="1" applyFont="1">
      <alignment readingOrder="0" shrinkToFit="0" vertical="center" wrapText="0"/>
    </xf>
    <xf borderId="16" fillId="0" fontId="51" numFmtId="0" xfId="0" applyAlignment="1" applyBorder="1" applyFont="1">
      <alignment readingOrder="0" shrinkToFit="0" vertical="center" wrapText="0"/>
    </xf>
    <xf borderId="16" fillId="8" fontId="2" numFmtId="9" xfId="0" applyAlignment="1" applyBorder="1" applyFont="1" applyNumberFormat="1">
      <alignment readingOrder="0" shrinkToFit="0" vertical="center" wrapText="0"/>
    </xf>
    <xf borderId="16" fillId="8" fontId="54" numFmtId="0" xfId="0" applyAlignment="1" applyBorder="1" applyFont="1">
      <alignment shrinkToFit="0" vertical="center" wrapText="0"/>
    </xf>
    <xf borderId="23" fillId="8" fontId="33" numFmtId="0" xfId="0" applyAlignment="1" applyBorder="1" applyFont="1">
      <alignment shrinkToFit="0" vertical="center" wrapText="0"/>
    </xf>
    <xf borderId="25" fillId="0" fontId="10" numFmtId="0" xfId="0" applyAlignment="1" applyBorder="1" applyFont="1">
      <alignment readingOrder="0" shrinkToFit="0" vertical="center" wrapText="0"/>
    </xf>
    <xf borderId="26" fillId="8" fontId="2" numFmtId="0" xfId="0" applyAlignment="1" applyBorder="1" applyFont="1">
      <alignment readingOrder="0" shrinkToFit="0" vertical="center" wrapText="0"/>
    </xf>
    <xf borderId="26" fillId="8" fontId="33" numFmtId="0" xfId="0" applyAlignment="1" applyBorder="1" applyFont="1">
      <alignment horizontal="right" readingOrder="0" shrinkToFit="0" vertical="center" wrapText="0"/>
    </xf>
    <xf borderId="25" fillId="8" fontId="33" numFmtId="0" xfId="0" applyAlignment="1" applyBorder="1" applyFont="1">
      <alignment readingOrder="0" shrinkToFit="0" vertical="center" wrapText="0"/>
    </xf>
    <xf borderId="25" fillId="8" fontId="33" numFmtId="9" xfId="0" applyAlignment="1" applyBorder="1" applyFont="1" applyNumberFormat="1">
      <alignment readingOrder="0" shrinkToFit="0" vertical="center" wrapText="0"/>
    </xf>
    <xf borderId="28" fillId="8" fontId="33" numFmtId="0" xfId="0" applyAlignment="1" applyBorder="1" applyFont="1">
      <alignment readingOrder="0" shrinkToFit="0" vertical="center" wrapText="0"/>
    </xf>
    <xf borderId="16" fillId="8" fontId="33" numFmtId="0" xfId="0" applyAlignment="1" applyBorder="1" applyFont="1">
      <alignment readingOrder="0" shrinkToFit="0" vertical="center" wrapText="0"/>
    </xf>
    <xf borderId="25" fillId="8" fontId="33" numFmtId="0" xfId="0" applyAlignment="1" applyBorder="1" applyFont="1">
      <alignment readingOrder="0" shrinkToFit="0" vertical="center" wrapText="0"/>
    </xf>
    <xf borderId="29" fillId="0" fontId="10" numFmtId="0" xfId="0" applyAlignment="1" applyBorder="1" applyFont="1">
      <alignment readingOrder="0" shrinkToFit="0" vertical="center" wrapText="0"/>
    </xf>
    <xf borderId="16" fillId="0" fontId="10" numFmtId="0" xfId="0" applyAlignment="1" applyBorder="1" applyFont="1">
      <alignment readingOrder="0" shrinkToFit="0" vertical="center" wrapText="0"/>
    </xf>
    <xf borderId="23" fillId="0" fontId="10" numFmtId="0" xfId="0" applyAlignment="1" applyBorder="1" applyFont="1">
      <alignment readingOrder="0" shrinkToFit="0" vertical="center" wrapText="0"/>
    </xf>
    <xf borderId="25" fillId="0" fontId="10" numFmtId="0" xfId="0" applyAlignment="1" applyBorder="1" applyFont="1">
      <alignment readingOrder="0" shrinkToFit="0" vertical="center" wrapText="0"/>
    </xf>
    <xf borderId="25" fillId="0" fontId="10" numFmtId="0" xfId="0" applyAlignment="1" applyBorder="1" applyFont="1">
      <alignment shrinkToFit="0" vertical="center" wrapText="0"/>
    </xf>
    <xf borderId="27" fillId="0" fontId="10" numFmtId="0" xfId="0" applyAlignment="1" applyBorder="1" applyFont="1">
      <alignment readingOrder="0" shrinkToFit="0" vertical="center" wrapText="0"/>
    </xf>
    <xf borderId="25" fillId="0" fontId="10" numFmtId="9" xfId="0" applyAlignment="1" applyBorder="1" applyFont="1" applyNumberFormat="1">
      <alignment horizontal="right" readingOrder="0" shrinkToFit="0" vertical="center" wrapText="0"/>
    </xf>
    <xf borderId="23" fillId="0" fontId="10" numFmtId="0" xfId="0" applyAlignment="1" applyBorder="1" applyFont="1">
      <alignment readingOrder="0" shrinkToFit="0" vertical="center" wrapText="0"/>
    </xf>
    <xf borderId="25" fillId="0" fontId="10" numFmtId="167" xfId="0" applyAlignment="1" applyBorder="1" applyFont="1" applyNumberFormat="1">
      <alignment readingOrder="0" shrinkToFit="0" vertical="center" wrapText="0"/>
    </xf>
    <xf borderId="25" fillId="0" fontId="10" numFmtId="0" xfId="0" applyAlignment="1" applyBorder="1" applyFont="1">
      <alignment shrinkToFit="0" vertical="center" wrapText="0"/>
    </xf>
    <xf borderId="26" fillId="0" fontId="10" numFmtId="0" xfId="0" applyAlignment="1" applyBorder="1" applyFont="1">
      <alignment shrinkToFit="0" vertical="center" wrapText="0"/>
    </xf>
    <xf borderId="4" fillId="0" fontId="10" numFmtId="0" xfId="0" applyAlignment="1" applyBorder="1" applyFont="1">
      <alignment shrinkToFit="0" vertical="center" wrapText="0"/>
    </xf>
    <xf borderId="25" fillId="9" fontId="33" numFmtId="0" xfId="0" applyAlignment="1" applyBorder="1" applyFont="1">
      <alignment readingOrder="0" shrinkToFit="0" vertical="center" wrapText="0"/>
    </xf>
    <xf borderId="0" fillId="8" fontId="33" numFmtId="0" xfId="0" applyAlignment="1" applyFont="1">
      <alignment shrinkToFit="0" vertical="center" wrapText="0"/>
    </xf>
    <xf borderId="35" fillId="8" fontId="33" numFmtId="0" xfId="0" applyAlignment="1" applyBorder="1" applyFont="1">
      <alignment shrinkToFit="0" vertical="center" wrapText="0"/>
    </xf>
    <xf borderId="19" fillId="8" fontId="2" numFmtId="0" xfId="0" applyAlignment="1" applyBorder="1" applyFont="1">
      <alignment readingOrder="0" shrinkToFit="0" vertical="center" wrapText="0"/>
    </xf>
    <xf borderId="19" fillId="8" fontId="33" numFmtId="0" xfId="0" applyAlignment="1" applyBorder="1" applyFont="1">
      <alignment shrinkToFit="0" vertical="center" wrapText="0"/>
    </xf>
    <xf borderId="19" fillId="8" fontId="33" numFmtId="0" xfId="0" applyAlignment="1" applyBorder="1" applyFont="1">
      <alignment shrinkToFit="0" vertical="center" wrapText="0"/>
    </xf>
    <xf borderId="19" fillId="8" fontId="33" numFmtId="0" xfId="0" applyAlignment="1" applyBorder="1" applyFont="1">
      <alignment horizontal="right" shrinkToFit="0" vertical="center" wrapText="0"/>
    </xf>
    <xf borderId="19" fillId="8" fontId="33" numFmtId="0" xfId="0" applyAlignment="1" applyBorder="1" applyFont="1">
      <alignment readingOrder="0" shrinkToFit="0" vertical="center" wrapText="0"/>
    </xf>
    <xf borderId="19" fillId="8" fontId="2" numFmtId="0" xfId="0" applyAlignment="1" applyBorder="1" applyFont="1">
      <alignment readingOrder="0" shrinkToFit="0" vertical="center" wrapText="0"/>
    </xf>
    <xf borderId="19" fillId="8" fontId="33" numFmtId="0" xfId="0" applyAlignment="1" applyBorder="1" applyFont="1">
      <alignment shrinkToFit="0" vertical="center" wrapText="0"/>
    </xf>
    <xf borderId="19" fillId="8" fontId="33" numFmtId="0" xfId="0" applyAlignment="1" applyBorder="1" applyFont="1">
      <alignment shrinkToFit="0" vertical="center" wrapText="0"/>
    </xf>
    <xf borderId="20" fillId="8" fontId="33" numFmtId="0" xfId="0" applyAlignment="1" applyBorder="1" applyFont="1">
      <alignment shrinkToFit="0" vertical="center" wrapText="0"/>
    </xf>
    <xf borderId="19" fillId="0" fontId="10" numFmtId="0" xfId="0" applyAlignment="1" applyBorder="1" applyFont="1">
      <alignment shrinkToFit="0" vertical="center" wrapText="0"/>
    </xf>
    <xf borderId="20" fillId="0" fontId="10" numFmtId="0" xfId="0" applyAlignment="1" applyBorder="1" applyFont="1">
      <alignment shrinkToFit="0" vertical="center" wrapText="0"/>
    </xf>
    <xf borderId="0" fillId="8" fontId="33" numFmtId="9" xfId="0" applyAlignment="1" applyFont="1" applyNumberFormat="1">
      <alignment horizontal="right" readingOrder="0" shrinkToFit="0" vertical="center" wrapText="0"/>
    </xf>
    <xf borderId="35" fillId="8" fontId="33" numFmtId="0" xfId="0" applyAlignment="1" applyBorder="1" applyFont="1">
      <alignment readingOrder="0" shrinkToFit="0" vertical="center" wrapText="0"/>
    </xf>
    <xf borderId="19" fillId="8" fontId="33" numFmtId="0" xfId="0" applyAlignment="1" applyBorder="1" applyFont="1">
      <alignment readingOrder="0" shrinkToFit="0" vertical="center" wrapText="0"/>
    </xf>
    <xf borderId="19" fillId="8" fontId="33" numFmtId="0" xfId="0" applyAlignment="1" applyBorder="1" applyFont="1">
      <alignment horizontal="right" readingOrder="0" shrinkToFit="0" vertical="center" wrapText="0"/>
    </xf>
    <xf borderId="20" fillId="8" fontId="33" numFmtId="0" xfId="0" applyAlignment="1" applyBorder="1" applyFont="1">
      <alignment readingOrder="0" shrinkToFit="0" vertical="center" wrapText="0"/>
    </xf>
    <xf borderId="20" fillId="0" fontId="10" numFmtId="0" xfId="0" applyAlignment="1" applyBorder="1" applyFont="1">
      <alignment readingOrder="0" shrinkToFit="0" vertical="center" wrapText="0"/>
    </xf>
    <xf borderId="19" fillId="0" fontId="10" numFmtId="0" xfId="0" applyAlignment="1" applyBorder="1" applyFont="1">
      <alignment readingOrder="0" shrinkToFit="0" vertical="center" wrapText="0"/>
    </xf>
    <xf borderId="25" fillId="0" fontId="55" numFmtId="0" xfId="0" applyAlignment="1" applyBorder="1" applyFont="1">
      <alignment readingOrder="0" shrinkToFit="0" vertical="center" wrapText="0"/>
    </xf>
    <xf borderId="16" fillId="0" fontId="10" numFmtId="0" xfId="0" applyAlignment="1" applyBorder="1" applyFont="1">
      <alignment horizontal="right" readingOrder="0" shrinkToFit="0" vertical="center" wrapText="0"/>
    </xf>
    <xf borderId="25" fillId="0" fontId="10" numFmtId="0" xfId="0" applyAlignment="1" applyBorder="1" applyFont="1">
      <alignment shrinkToFit="0" vertical="center" wrapText="0"/>
    </xf>
    <xf borderId="28" fillId="0" fontId="10" numFmtId="0" xfId="0" applyAlignment="1" applyBorder="1" applyFont="1">
      <alignment readingOrder="0" shrinkToFit="0" vertical="center" wrapText="0"/>
    </xf>
    <xf borderId="25" fillId="8" fontId="33" numFmtId="0" xfId="0" applyAlignment="1" applyBorder="1" applyFont="1">
      <alignment shrinkToFit="0" vertical="center" wrapText="0"/>
    </xf>
    <xf borderId="25" fillId="0" fontId="10" numFmtId="0" xfId="0" applyAlignment="1" applyBorder="1" applyFont="1">
      <alignment readingOrder="0" shrinkToFit="0" vertical="center" wrapText="0"/>
    </xf>
    <xf borderId="16" fillId="0" fontId="10" numFmtId="3" xfId="0" applyAlignment="1" applyBorder="1" applyFont="1" applyNumberFormat="1">
      <alignment horizontal="right" readingOrder="0" shrinkToFit="0" vertical="center" wrapText="0"/>
    </xf>
    <xf borderId="22" fillId="8" fontId="2" numFmtId="0" xfId="0" applyAlignment="1" applyBorder="1" applyFont="1">
      <alignment readingOrder="0" shrinkToFit="0" vertical="center" wrapText="0"/>
    </xf>
    <xf borderId="16" fillId="8" fontId="33" numFmtId="9" xfId="0" applyAlignment="1" applyBorder="1" applyFont="1" applyNumberFormat="1">
      <alignment readingOrder="0" shrinkToFit="0" vertical="center" wrapText="0"/>
    </xf>
    <xf borderId="16" fillId="8" fontId="56" numFmtId="0" xfId="0" applyAlignment="1" applyBorder="1" applyFont="1">
      <alignment readingOrder="0" shrinkToFit="0" vertical="center" wrapText="0"/>
    </xf>
    <xf borderId="23" fillId="8" fontId="33" numFmtId="0" xfId="0" applyAlignment="1" applyBorder="1" applyFont="1">
      <alignment readingOrder="0" shrinkToFit="0" vertical="center" wrapText="0"/>
    </xf>
    <xf borderId="17" fillId="8" fontId="2" numFmtId="0" xfId="0" applyAlignment="1" applyBorder="1" applyFont="1">
      <alignment readingOrder="0" shrinkToFit="0" vertical="center" wrapText="0"/>
    </xf>
    <xf borderId="27" fillId="8" fontId="2" numFmtId="0" xfId="0" applyAlignment="1" applyBorder="1" applyFont="1">
      <alignment readingOrder="0" shrinkToFit="0" vertical="center" wrapText="0"/>
    </xf>
    <xf borderId="25" fillId="0" fontId="2" numFmtId="0" xfId="0" applyAlignment="1" applyBorder="1" applyFont="1">
      <alignment horizontal="right" shrinkToFit="0" vertical="bottom" wrapText="0"/>
    </xf>
    <xf borderId="25" fillId="0" fontId="57" numFmtId="0" xfId="0" applyAlignment="1" applyBorder="1" applyFont="1">
      <alignment shrinkToFit="0" vertical="bottom" wrapText="0"/>
    </xf>
    <xf borderId="25" fillId="0" fontId="57" numFmtId="0" xfId="0" applyAlignment="1" applyBorder="1" applyFont="1">
      <alignment readingOrder="0" shrinkToFit="0" vertical="bottom" wrapText="0"/>
    </xf>
    <xf borderId="16" fillId="0" fontId="2" numFmtId="0" xfId="0" applyAlignment="1" applyBorder="1" applyFont="1">
      <alignment horizontal="right" shrinkToFit="0" vertical="bottom" wrapText="0"/>
    </xf>
    <xf borderId="16" fillId="0" fontId="57" numFmtId="0" xfId="0" applyAlignment="1" applyBorder="1" applyFont="1">
      <alignment shrinkToFit="0" vertical="bottom" wrapText="0"/>
    </xf>
    <xf borderId="16" fillId="0" fontId="57" numFmtId="0" xfId="0" applyAlignment="1" applyBorder="1" applyFont="1">
      <alignment readingOrder="0" shrinkToFit="0" vertical="bottom" wrapText="0"/>
    </xf>
    <xf borderId="24" fillId="0" fontId="33" numFmtId="0" xfId="0" applyAlignment="1" applyBorder="1" applyFont="1">
      <alignment readingOrder="0" shrinkToFit="0" vertical="center" wrapText="0"/>
    </xf>
    <xf borderId="25" fillId="0" fontId="34" numFmtId="0" xfId="0" applyAlignment="1" applyBorder="1" applyFont="1">
      <alignment readingOrder="0" shrinkToFit="0" vertical="center" wrapText="0"/>
    </xf>
    <xf borderId="0" fillId="0" fontId="33" numFmtId="0" xfId="0" applyAlignment="1" applyFont="1">
      <alignment readingOrder="0" shrinkToFit="0" vertical="center" wrapText="0"/>
    </xf>
    <xf borderId="25" fillId="0" fontId="2" numFmtId="0" xfId="0" applyAlignment="1" applyBorder="1" applyFont="1">
      <alignment readingOrder="0" shrinkToFit="0" vertical="center" wrapText="0"/>
    </xf>
    <xf borderId="25" fillId="0" fontId="33" numFmtId="0" xfId="0" applyAlignment="1" applyBorder="1" applyFont="1">
      <alignment readingOrder="0" shrinkToFit="0" vertical="center" wrapText="0"/>
    </xf>
    <xf borderId="25" fillId="0" fontId="33" numFmtId="0" xfId="0" applyAlignment="1" applyBorder="1" applyFont="1">
      <alignment horizontal="right" readingOrder="0" shrinkToFit="0" vertical="center" wrapText="0"/>
    </xf>
    <xf borderId="25" fillId="0" fontId="2" numFmtId="9" xfId="0" applyAlignment="1" applyBorder="1" applyFont="1" applyNumberFormat="1">
      <alignment readingOrder="0" shrinkToFit="0" vertical="center" wrapText="0"/>
    </xf>
    <xf borderId="25" fillId="0" fontId="2" numFmtId="0" xfId="0" applyAlignment="1" applyBorder="1" applyFont="1">
      <alignment readingOrder="0" shrinkToFit="0" vertical="center" wrapText="0"/>
    </xf>
    <xf borderId="27" fillId="0" fontId="33" numFmtId="0" xfId="0" applyAlignment="1" applyBorder="1" applyFont="1">
      <alignment readingOrder="0" shrinkToFit="0" vertical="center" wrapText="0"/>
    </xf>
    <xf borderId="26" fillId="0" fontId="2" numFmtId="0" xfId="0" applyAlignment="1" applyBorder="1" applyFont="1">
      <alignment shrinkToFit="0" vertical="center" wrapText="0"/>
    </xf>
    <xf borderId="25" fillId="0" fontId="2" numFmtId="0" xfId="0" applyAlignment="1" applyBorder="1" applyFont="1">
      <alignment shrinkToFit="0" vertical="center" wrapText="0"/>
    </xf>
    <xf borderId="27" fillId="0" fontId="2" numFmtId="0" xfId="0" applyAlignment="1" applyBorder="1" applyFont="1">
      <alignment shrinkToFit="0" vertical="center" wrapText="0"/>
    </xf>
    <xf borderId="26" fillId="0" fontId="33" numFmtId="0" xfId="0" applyAlignment="1" applyBorder="1" applyFont="1">
      <alignment horizontal="right" shrinkToFit="0" vertical="center" wrapText="0"/>
    </xf>
    <xf borderId="25" fillId="0" fontId="33" numFmtId="0" xfId="0" applyAlignment="1" applyBorder="1" applyFont="1">
      <alignment shrinkToFit="0" vertical="center" wrapText="0"/>
    </xf>
    <xf borderId="25" fillId="0" fontId="58" numFmtId="0" xfId="0" applyAlignment="1" applyBorder="1" applyFont="1">
      <alignment shrinkToFit="0" vertical="center" wrapText="0"/>
    </xf>
    <xf borderId="28" fillId="0" fontId="33" numFmtId="0" xfId="0" applyAlignment="1" applyBorder="1" applyFont="1">
      <alignment shrinkToFit="0" vertical="center" wrapText="0"/>
    </xf>
    <xf borderId="25" fillId="8" fontId="33" numFmtId="0" xfId="0" applyAlignment="1" applyBorder="1" applyFont="1">
      <alignment shrinkToFit="0" vertical="center" wrapText="0"/>
    </xf>
    <xf borderId="16" fillId="0" fontId="59" numFmtId="0" xfId="0" applyAlignment="1" applyBorder="1" applyFont="1">
      <alignment shrinkToFit="0" vertical="bottom" wrapText="0"/>
    </xf>
    <xf borderId="16" fillId="0" fontId="2" numFmtId="0" xfId="0" applyAlignment="1" applyBorder="1" applyFont="1">
      <alignment shrinkToFit="0" vertical="bottom" wrapText="0"/>
    </xf>
    <xf borderId="25" fillId="0" fontId="60" numFmtId="0" xfId="0" applyAlignment="1" applyBorder="1" applyFont="1">
      <alignment shrinkToFit="0" vertical="bottom" wrapText="0"/>
    </xf>
    <xf borderId="25" fillId="0" fontId="2" numFmtId="0" xfId="0" applyAlignment="1" applyBorder="1" applyFont="1">
      <alignment shrinkToFit="0" vertical="bottom" wrapText="0"/>
    </xf>
    <xf borderId="25" fillId="0" fontId="61" numFmtId="0" xfId="0" applyAlignment="1" applyBorder="1" applyFont="1">
      <alignment shrinkToFit="0" vertical="bottom" wrapText="0"/>
    </xf>
    <xf borderId="25" fillId="0" fontId="62" numFmtId="0" xfId="0" applyAlignment="1" applyBorder="1" applyFont="1">
      <alignment shrinkToFit="0" vertical="bottom" wrapText="0"/>
    </xf>
    <xf borderId="27" fillId="8" fontId="33" numFmtId="0" xfId="0" applyAlignment="1" applyBorder="1" applyFont="1">
      <alignment shrinkToFit="0" vertical="center" wrapText="0"/>
    </xf>
    <xf borderId="16" fillId="0" fontId="63" numFmtId="0" xfId="0" applyAlignment="1" applyBorder="1" applyFont="1">
      <alignment shrinkToFit="0" vertical="bottom" wrapText="0"/>
    </xf>
    <xf borderId="16" fillId="0" fontId="64" numFmtId="0" xfId="0" applyAlignment="1" applyBorder="1" applyFont="1">
      <alignment shrinkToFit="0" vertical="bottom" wrapText="0"/>
    </xf>
    <xf borderId="17" fillId="8" fontId="33" numFmtId="0" xfId="0" applyAlignment="1" applyBorder="1" applyFont="1">
      <alignment shrinkToFit="0" vertical="center" wrapText="0"/>
    </xf>
    <xf borderId="0" fillId="0" fontId="65" numFmtId="0" xfId="0" applyAlignment="1" applyFont="1">
      <alignment shrinkToFit="0" vertical="bottom" wrapText="0"/>
    </xf>
    <xf borderId="16" fillId="9" fontId="33" numFmtId="0" xfId="0" applyAlignment="1" applyBorder="1" applyFont="1">
      <alignment shrinkToFit="0" vertical="center" wrapText="0"/>
    </xf>
    <xf borderId="16" fillId="9" fontId="33" numFmtId="0" xfId="0" applyAlignment="1" applyBorder="1" applyFont="1">
      <alignment shrinkToFit="0" vertical="center" wrapText="0"/>
    </xf>
    <xf borderId="16" fillId="9" fontId="33" numFmtId="0" xfId="0" applyAlignment="1" applyBorder="1" applyFont="1">
      <alignment horizontal="right" readingOrder="0" shrinkToFit="0" vertical="center" wrapText="0"/>
    </xf>
    <xf borderId="25" fillId="9" fontId="33" numFmtId="0" xfId="0" applyAlignment="1" applyBorder="1" applyFont="1">
      <alignment shrinkToFit="0" vertical="center" wrapText="0"/>
    </xf>
    <xf borderId="25" fillId="9" fontId="33" numFmtId="0" xfId="0" applyAlignment="1" applyBorder="1" applyFont="1">
      <alignment horizontal="right" readingOrder="0" shrinkToFit="0" vertical="center" wrapText="0"/>
    </xf>
    <xf borderId="25" fillId="9" fontId="33" numFmtId="0" xfId="0" applyAlignment="1" applyBorder="1" applyFont="1">
      <alignment shrinkToFit="0" vertical="center" wrapText="0"/>
    </xf>
    <xf borderId="25" fillId="9" fontId="33" numFmtId="0" xfId="0" applyAlignment="1" applyBorder="1" applyFont="1">
      <alignment shrinkToFit="0" vertical="center" wrapText="0"/>
    </xf>
    <xf borderId="16" fillId="8" fontId="33" numFmtId="0" xfId="0" applyAlignment="1" applyBorder="1" applyFont="1">
      <alignment shrinkToFit="0" vertical="center" wrapText="0"/>
    </xf>
    <xf borderId="16" fillId="8" fontId="33" numFmtId="0" xfId="0" applyAlignment="1" applyBorder="1" applyFont="1">
      <alignment shrinkToFit="0" vertical="center" wrapText="0"/>
    </xf>
    <xf borderId="16" fillId="0" fontId="33" numFmtId="0" xfId="0" applyAlignment="1" applyBorder="1" applyFont="1">
      <alignment horizontal="right" readingOrder="0" shrinkToFit="0" vertical="center" wrapText="0"/>
    </xf>
    <xf borderId="16" fillId="0" fontId="10" numFmtId="0" xfId="0" applyAlignment="1" applyBorder="1" applyFont="1">
      <alignment readingOrder="0" shrinkToFit="0" vertical="center" wrapText="0"/>
    </xf>
    <xf borderId="25" fillId="8" fontId="33" numFmtId="0" xfId="0" applyAlignment="1" applyBorder="1" applyFont="1">
      <alignment shrinkToFit="0" vertical="center" wrapText="0"/>
    </xf>
    <xf borderId="25" fillId="0" fontId="33" numFmtId="0" xfId="0" applyAlignment="1" applyBorder="1" applyFont="1">
      <alignment horizontal="right" readingOrder="0" shrinkToFit="0" vertical="center" wrapText="0"/>
    </xf>
    <xf borderId="25" fillId="0" fontId="10" numFmtId="0" xfId="0" applyAlignment="1" applyBorder="1" applyFont="1">
      <alignment readingOrder="0" shrinkToFit="0" vertical="center" wrapText="0"/>
    </xf>
    <xf borderId="26" fillId="9" fontId="33" numFmtId="0" xfId="0" applyAlignment="1" applyBorder="1" applyFont="1">
      <alignment horizontal="right" shrinkToFit="0" vertical="center" wrapText="0"/>
    </xf>
    <xf borderId="25" fillId="9" fontId="33" numFmtId="0" xfId="0" applyAlignment="1" applyBorder="1" applyFont="1">
      <alignment readingOrder="0" shrinkToFit="0" vertical="center" wrapText="0"/>
    </xf>
    <xf borderId="25" fillId="8" fontId="33" numFmtId="10" xfId="0" applyAlignment="1" applyBorder="1" applyFont="1" applyNumberFormat="1">
      <alignment readingOrder="0" shrinkToFit="0" vertical="center" wrapText="0"/>
    </xf>
    <xf borderId="25" fillId="8" fontId="25" numFmtId="0" xfId="0" applyAlignment="1" applyBorder="1" applyFont="1">
      <alignment shrinkToFit="0" vertical="bottom" wrapText="0"/>
    </xf>
    <xf borderId="22" fillId="9" fontId="33" numFmtId="0" xfId="0" applyAlignment="1" applyBorder="1" applyFont="1">
      <alignment horizontal="right" shrinkToFit="0" vertical="center" wrapText="0"/>
    </xf>
    <xf borderId="16" fillId="9" fontId="33" numFmtId="0" xfId="0" applyAlignment="1" applyBorder="1" applyFont="1">
      <alignment shrinkToFit="0" vertical="center" wrapText="0"/>
    </xf>
    <xf borderId="26" fillId="9" fontId="33" numFmtId="0" xfId="0" applyAlignment="1" applyBorder="1" applyFont="1">
      <alignment horizontal="right" shrinkToFit="0" vertical="center" wrapText="0"/>
    </xf>
    <xf borderId="0" fillId="0" fontId="10" numFmtId="0" xfId="0" applyAlignment="1" applyFont="1">
      <alignment readingOrder="0" shrinkToFit="0" vertical="center" wrapText="0"/>
    </xf>
    <xf borderId="0" fillId="8" fontId="33" numFmtId="10" xfId="0" applyAlignment="1" applyFont="1" applyNumberFormat="1">
      <alignment readingOrder="0" shrinkToFit="0" vertical="center" wrapText="0"/>
    </xf>
    <xf borderId="29" fillId="8" fontId="33" numFmtId="0" xfId="0" applyAlignment="1" applyBorder="1" applyFont="1">
      <alignment readingOrder="0" shrinkToFit="0" vertical="center" wrapText="0"/>
    </xf>
    <xf borderId="36" fillId="8" fontId="33" numFmtId="0" xfId="0" applyAlignment="1" applyBorder="1" applyFont="1">
      <alignment readingOrder="0" shrinkToFit="0" vertical="center" wrapText="0"/>
    </xf>
    <xf borderId="16" fillId="9" fontId="33" numFmtId="0" xfId="0" applyAlignment="1" applyBorder="1" applyFont="1">
      <alignment readingOrder="0" shrinkToFit="0" vertical="center" wrapText="0"/>
    </xf>
    <xf borderId="25" fillId="0" fontId="2" numFmtId="0" xfId="0" applyAlignment="1" applyBorder="1" applyFont="1">
      <alignment shrinkToFit="0" vertical="bottom" wrapText="0"/>
    </xf>
    <xf borderId="16" fillId="8" fontId="33" numFmtId="0" xfId="0" applyAlignment="1" applyBorder="1" applyFont="1">
      <alignment shrinkToFit="0" vertical="center" wrapText="0"/>
    </xf>
    <xf borderId="0" fillId="8" fontId="66" numFmtId="0" xfId="0" applyAlignment="1" applyFont="1">
      <alignment shrinkToFit="0" vertical="center" wrapText="0"/>
    </xf>
    <xf borderId="0" fillId="8" fontId="67" numFmtId="0" xfId="0" applyAlignment="1" applyFont="1">
      <alignment readingOrder="0" shrinkToFit="0" vertical="center" wrapText="0"/>
    </xf>
    <xf borderId="0" fillId="9" fontId="68" numFmtId="0" xfId="0" applyAlignment="1" applyFont="1">
      <alignment readingOrder="0" shrinkToFit="0" vertical="center" wrapText="0"/>
    </xf>
    <xf borderId="0" fillId="8" fontId="2" numFmtId="0" xfId="0" applyAlignment="1" applyFont="1">
      <alignment readingOrder="0" shrinkToFit="0" vertical="center" wrapText="0"/>
    </xf>
    <xf borderId="0" fillId="8" fontId="2" numFmtId="0" xfId="0" applyAlignment="1" applyFont="1">
      <alignment shrinkToFit="0" vertical="center" wrapText="0"/>
    </xf>
    <xf borderId="0" fillId="9" fontId="69" numFmtId="0" xfId="0" applyAlignment="1" applyFont="1">
      <alignment shrinkToFit="0" vertical="center" wrapText="0"/>
    </xf>
    <xf borderId="4" fillId="9" fontId="2" numFmtId="0" xfId="0" applyAlignment="1" applyBorder="1" applyFont="1">
      <alignment readingOrder="0" shrinkToFit="0" vertical="center" wrapText="0"/>
    </xf>
    <xf borderId="0" fillId="9" fontId="2" numFmtId="9" xfId="0" applyAlignment="1" applyFont="1" applyNumberFormat="1">
      <alignment readingOrder="0" shrinkToFit="0" vertical="center" wrapText="0"/>
    </xf>
    <xf borderId="0" fillId="8" fontId="33" numFmtId="0" xfId="0" applyAlignment="1" applyFont="1">
      <alignment readingOrder="0" shrinkToFit="0" vertical="center" wrapText="0"/>
    </xf>
    <xf borderId="0" fillId="8" fontId="69" numFmtId="0" xfId="0" applyAlignment="1" applyFont="1">
      <alignment shrinkToFit="0" vertical="center" wrapText="0"/>
    </xf>
    <xf borderId="0" fillId="8" fontId="33" numFmtId="0" xfId="0" applyAlignment="1" applyFont="1">
      <alignment shrinkToFit="0" vertical="center" wrapText="0"/>
    </xf>
    <xf borderId="0" fillId="8" fontId="70" numFmtId="0" xfId="0" applyAlignment="1" applyFont="1">
      <alignment shrinkToFit="0" vertical="center" wrapText="0"/>
    </xf>
    <xf borderId="4" fillId="8" fontId="33" numFmtId="0" xfId="0" applyAlignment="1" applyBorder="1" applyFont="1">
      <alignment horizontal="right" shrinkToFit="0" vertical="center" wrapText="0"/>
    </xf>
    <xf borderId="0" fillId="9" fontId="33" numFmtId="0" xfId="0" applyAlignment="1" applyFont="1">
      <alignment shrinkToFit="0" vertical="center" wrapText="0"/>
    </xf>
    <xf borderId="0" fillId="9" fontId="33" numFmtId="0" xfId="0" applyAlignment="1" applyFont="1">
      <alignment shrinkToFit="0" vertical="center" wrapText="0"/>
    </xf>
    <xf borderId="0" fillId="9" fontId="33" numFmtId="0" xfId="0" applyAlignment="1" applyFont="1">
      <alignment horizontal="right" shrinkToFit="0" vertical="center" wrapText="0"/>
    </xf>
    <xf borderId="0" fillId="9" fontId="71" numFmtId="0" xfId="0" applyAlignment="1" applyFont="1">
      <alignment shrinkToFit="0" vertical="center" wrapText="0"/>
    </xf>
    <xf borderId="4" fillId="9" fontId="33" numFmtId="0" xfId="0" applyAlignment="1" applyBorder="1" applyFont="1">
      <alignment horizontal="right" shrinkToFit="0" vertical="center" wrapText="0"/>
    </xf>
    <xf borderId="0" fillId="9" fontId="2" numFmtId="0" xfId="0" applyAlignment="1" applyFont="1">
      <alignment shrinkToFit="0" vertical="center" wrapText="0"/>
    </xf>
    <xf borderId="0" fillId="9" fontId="33" numFmtId="9" xfId="0" applyAlignment="1" applyFont="1" applyNumberFormat="1">
      <alignment readingOrder="0" shrinkToFit="0" vertical="center" wrapText="0"/>
    </xf>
    <xf borderId="0" fillId="8" fontId="2" numFmtId="9" xfId="0" applyAlignment="1" applyFont="1" applyNumberFormat="1">
      <alignment shrinkToFit="0" vertical="center" wrapText="0"/>
    </xf>
    <xf borderId="0" fillId="8" fontId="72" numFmtId="0" xfId="0" applyAlignment="1" applyFont="1">
      <alignment readingOrder="0" shrinkToFit="0" vertical="center" wrapText="0"/>
    </xf>
    <xf borderId="0" fillId="0" fontId="10" numFmtId="0" xfId="0" applyAlignment="1" applyFont="1">
      <alignment readingOrder="0" shrinkToFit="0" vertical="center" wrapText="0"/>
    </xf>
    <xf borderId="0" fillId="10" fontId="10" numFmtId="0" xfId="0" applyAlignment="1" applyFill="1" applyFont="1">
      <alignment readingOrder="0" shrinkToFit="0" vertical="center" wrapText="0"/>
    </xf>
    <xf borderId="0" fillId="0" fontId="10" numFmtId="9" xfId="0" applyAlignment="1" applyFont="1" applyNumberFormat="1">
      <alignment shrinkToFit="0" vertical="center" wrapText="0"/>
    </xf>
    <xf borderId="0" fillId="0" fontId="10" numFmtId="0" xfId="0" applyAlignment="1" applyFont="1">
      <alignment shrinkToFit="0" vertical="center" wrapText="0"/>
    </xf>
    <xf borderId="0" fillId="0" fontId="10" numFmtId="0" xfId="0" applyAlignment="1" applyFont="1">
      <alignment readingOrder="0" shrinkToFit="0" vertical="center" wrapText="0"/>
    </xf>
    <xf borderId="0" fillId="0" fontId="19" numFmtId="0" xfId="0" applyAlignment="1" applyFont="1">
      <alignment readingOrder="0" shrinkToFit="0" vertical="center" wrapText="0"/>
    </xf>
    <xf borderId="0" fillId="0" fontId="10" numFmtId="10" xfId="0" applyAlignment="1" applyFont="1" applyNumberFormat="1">
      <alignment horizontal="right" readingOrder="0" shrinkToFit="0" vertical="center" wrapText="0"/>
    </xf>
    <xf borderId="0" fillId="0" fontId="10" numFmtId="10" xfId="0" applyAlignment="1" applyFont="1" applyNumberFormat="1">
      <alignment readingOrder="0" shrinkToFit="0" vertical="center" wrapText="0"/>
    </xf>
    <xf borderId="0" fillId="8" fontId="33" numFmtId="0" xfId="0" applyAlignment="1" applyFont="1">
      <alignment shrinkToFit="0" vertical="center" wrapText="0"/>
    </xf>
    <xf borderId="0" fillId="8" fontId="33" numFmtId="0" xfId="0" applyAlignment="1" applyFont="1">
      <alignment readingOrder="0" shrinkToFit="0" vertical="center" wrapText="0"/>
    </xf>
    <xf borderId="0" fillId="0" fontId="10" numFmtId="0" xfId="0" applyAlignment="1" applyFont="1">
      <alignment shrinkToFit="0" wrapText="0"/>
    </xf>
    <xf borderId="4" fillId="0" fontId="10" numFmtId="0" xfId="0" applyAlignment="1" applyBorder="1" applyFont="1">
      <alignment horizontal="right"/>
    </xf>
    <xf borderId="0" fillId="0" fontId="10" numFmtId="0" xfId="0" applyAlignment="1" applyFont="1">
      <alignment horizontal="left" readingOrder="0" shrinkToFit="0" vertical="center" wrapText="0"/>
    </xf>
    <xf borderId="0" fillId="0" fontId="10" numFmtId="0" xfId="0" applyAlignment="1" applyFont="1">
      <alignment horizontal="left" readingOrder="0" shrinkToFit="0" vertical="center" wrapText="0"/>
    </xf>
    <xf borderId="0" fillId="0" fontId="10" numFmtId="0" xfId="0" applyAlignment="1" applyFont="1">
      <alignment horizontal="left" readingOrder="0" shrinkToFit="0" vertical="center" wrapText="0"/>
    </xf>
    <xf borderId="0" fillId="0" fontId="10" numFmtId="0" xfId="0" applyAlignment="1" applyFont="1">
      <alignment readingOrder="0" shrinkToFit="0" vertical="center" wrapText="0"/>
    </xf>
    <xf borderId="0" fillId="9" fontId="33" numFmtId="0" xfId="0" applyAlignment="1" applyFont="1">
      <alignment readingOrder="0" shrinkToFit="0" vertical="center" wrapText="0"/>
    </xf>
    <xf borderId="0" fillId="9" fontId="33" numFmtId="0" xfId="0" applyAlignment="1" applyFont="1">
      <alignment horizontal="right" readingOrder="0" shrinkToFit="0" vertical="center" wrapText="0"/>
    </xf>
    <xf borderId="0" fillId="9" fontId="73" numFmtId="0" xfId="0" applyAlignment="1" applyFont="1">
      <alignment readingOrder="0" shrinkToFit="0" vertical="center" wrapText="0"/>
    </xf>
    <xf borderId="0" fillId="10" fontId="74" numFmtId="0" xfId="0" applyAlignment="1" applyFont="1">
      <alignment readingOrder="0" shrinkToFit="0" vertical="center" wrapText="0"/>
    </xf>
    <xf borderId="0" fillId="8" fontId="33" numFmtId="0" xfId="0" applyAlignment="1" applyFont="1">
      <alignment shrinkToFit="0" vertical="center" wrapText="0"/>
    </xf>
    <xf borderId="0" fillId="8" fontId="33" numFmtId="0" xfId="0" applyAlignment="1" applyFont="1">
      <alignment horizontal="right" shrinkToFit="0" vertical="center" wrapText="0"/>
    </xf>
    <xf borderId="0" fillId="8" fontId="75" numFmtId="0" xfId="0" applyAlignment="1" applyFont="1">
      <alignment shrinkToFit="0" vertical="center" wrapText="0"/>
    </xf>
    <xf borderId="0" fillId="9" fontId="33" numFmtId="0" xfId="0" applyAlignment="1" applyFont="1">
      <alignment shrinkToFit="0" vertical="center" wrapText="0"/>
    </xf>
    <xf borderId="0" fillId="9" fontId="33" numFmtId="0" xfId="0" applyAlignment="1" applyFont="1">
      <alignment horizontal="right" shrinkToFit="0" vertical="center" wrapText="0"/>
    </xf>
    <xf borderId="0" fillId="9" fontId="76" numFmtId="0" xfId="0" applyAlignment="1" applyFont="1">
      <alignment shrinkToFit="0" vertical="center" wrapText="0"/>
    </xf>
    <xf borderId="0" fillId="0" fontId="77" numFmtId="0" xfId="0" applyAlignment="1" applyFont="1">
      <alignment readingOrder="0" shrinkToFit="0" vertical="center" wrapText="0"/>
    </xf>
    <xf borderId="0" fillId="0" fontId="78" numFmtId="0" xfId="0" applyAlignment="1" applyFont="1">
      <alignment readingOrder="0" shrinkToFit="0" vertical="center" wrapText="0"/>
    </xf>
    <xf borderId="0" fillId="0" fontId="79" numFmtId="0" xfId="0" applyAlignment="1" applyFont="1">
      <alignment readingOrder="0" shrinkToFit="0" vertical="center" wrapText="0"/>
    </xf>
    <xf borderId="16" fillId="0" fontId="10" numFmtId="0" xfId="0" applyAlignment="1" applyBorder="1" applyFont="1">
      <alignment readingOrder="0" shrinkToFit="0" vertical="center" wrapText="0"/>
    </xf>
    <xf borderId="25" fillId="10" fontId="80" numFmtId="0" xfId="0" applyAlignment="1" applyBorder="1" applyFont="1">
      <alignment readingOrder="0" shrinkToFit="0" vertical="center" wrapText="0"/>
    </xf>
    <xf borderId="16" fillId="10" fontId="81" numFmtId="0" xfId="0" applyAlignment="1" applyBorder="1" applyFont="1">
      <alignment readingOrder="0" shrinkToFit="0" vertical="center" wrapText="0"/>
    </xf>
    <xf borderId="25" fillId="0" fontId="10" numFmtId="0" xfId="0" applyAlignment="1" applyBorder="1" applyFont="1">
      <alignment readingOrder="0" shrinkToFit="0" vertical="center" wrapText="0"/>
    </xf>
    <xf borderId="0" fillId="10" fontId="82" numFmtId="0" xfId="0" applyAlignment="1" applyFont="1">
      <alignment readingOrder="0" shrinkToFit="0" vertical="center" wrapText="0"/>
    </xf>
    <xf borderId="1" fillId="11" fontId="83" numFmtId="0" xfId="0" applyAlignment="1" applyBorder="1" applyFill="1" applyFont="1">
      <alignment readingOrder="0"/>
    </xf>
    <xf borderId="2" fillId="11" fontId="83" numFmtId="0" xfId="0" applyAlignment="1" applyBorder="1" applyFont="1">
      <alignment readingOrder="0"/>
    </xf>
    <xf borderId="4" fillId="0" fontId="10" numFmtId="0" xfId="0" applyBorder="1" applyFont="1"/>
    <xf borderId="5" fillId="0" fontId="10" numFmtId="0" xfId="0" applyBorder="1" applyFont="1"/>
    <xf borderId="0" fillId="0" fontId="10" numFmtId="0" xfId="0" applyFont="1"/>
    <xf borderId="0" fillId="0" fontId="10" numFmtId="49" xfId="0" applyFont="1" applyNumberFormat="1"/>
    <xf borderId="0" fillId="0" fontId="10" numFmtId="9" xfId="0" applyFont="1" applyNumberFormat="1"/>
    <xf borderId="5" fillId="0" fontId="10" numFmtId="0" xfId="0" applyBorder="1" applyFont="1"/>
    <xf borderId="6" fillId="0" fontId="10" numFmtId="0" xfId="0" applyBorder="1" applyFont="1"/>
    <xf borderId="7" fillId="0" fontId="10" numFmtId="0" xfId="0" applyBorder="1" applyFont="1"/>
    <xf borderId="7" fillId="0" fontId="10" numFmtId="9" xfId="0" applyBorder="1" applyFont="1" applyNumberFormat="1"/>
    <xf borderId="6" fillId="0" fontId="10" numFmtId="0" xfId="0" applyAlignment="1" applyBorder="1" applyFont="1">
      <alignment readingOrder="0"/>
    </xf>
    <xf borderId="8" fillId="0" fontId="10" numFmtId="0" xfId="0" applyBorder="1" applyFont="1"/>
    <xf borderId="7" fillId="0" fontId="10" numFmtId="0" xfId="0" applyBorder="1" applyFont="1"/>
    <xf borderId="8" fillId="0" fontId="10" numFmtId="0" xfId="0" applyBorder="1" applyFont="1"/>
    <xf borderId="0" fillId="0" fontId="10" numFmtId="0" xfId="0" applyAlignment="1" applyFont="1">
      <alignment shrinkToFit="0" wrapText="0"/>
    </xf>
    <xf borderId="0" fillId="0" fontId="10" numFmtId="3" xfId="0" applyFont="1" applyNumberFormat="1"/>
    <xf borderId="0" fillId="0" fontId="10" numFmtId="0" xfId="0" applyFont="1"/>
    <xf borderId="0" fillId="0" fontId="10" numFmtId="0" xfId="0" applyFont="1"/>
    <xf borderId="0" fillId="0" fontId="10" numFmtId="49" xfId="0" applyAlignment="1" applyFont="1" applyNumberFormat="1">
      <alignment horizontal="left" readingOrder="0" shrinkToFit="0" vertical="center" wrapText="0"/>
    </xf>
    <xf borderId="0" fillId="8" fontId="33" numFmtId="0" xfId="0" applyAlignment="1" applyFont="1">
      <alignment shrinkToFit="0" vertical="center" wrapText="0"/>
    </xf>
    <xf borderId="0" fillId="9" fontId="33" numFmtId="0" xfId="0" applyAlignment="1" applyFont="1">
      <alignment shrinkToFit="0" vertical="center" wrapText="0"/>
    </xf>
    <xf borderId="25" fillId="8" fontId="33" numFmtId="0" xfId="0" applyAlignment="1" applyBorder="1" applyFont="1">
      <alignment shrinkToFit="0" vertical="center" wrapText="0"/>
    </xf>
    <xf borderId="25" fillId="8" fontId="33" numFmtId="0" xfId="0" applyAlignment="1" applyBorder="1" applyFont="1">
      <alignment shrinkToFit="0" vertical="center" wrapText="0"/>
    </xf>
    <xf borderId="16" fillId="9" fontId="33" numFmtId="0" xfId="0" applyAlignment="1" applyBorder="1" applyFont="1">
      <alignment shrinkToFit="0" vertical="center" wrapText="0"/>
    </xf>
    <xf borderId="16" fillId="9" fontId="33" numFmtId="0" xfId="0" applyAlignment="1" applyBorder="1" applyFont="1">
      <alignment shrinkToFit="0" vertical="center" wrapText="0"/>
    </xf>
    <xf borderId="25" fillId="9" fontId="33" numFmtId="0" xfId="0" applyAlignment="1" applyBorder="1" applyFont="1">
      <alignment shrinkToFit="0" vertical="center" wrapText="0"/>
    </xf>
    <xf borderId="25" fillId="9" fontId="33" numFmtId="0" xfId="0" applyAlignment="1" applyBorder="1" applyFont="1">
      <alignment readingOrder="0" shrinkToFit="0" vertical="center" wrapText="0"/>
    </xf>
    <xf borderId="16" fillId="8" fontId="33" numFmtId="0" xfId="0" applyAlignment="1" applyBorder="1" applyFont="1">
      <alignment shrinkToFit="0" vertical="center" wrapText="0"/>
    </xf>
    <xf borderId="16" fillId="8" fontId="33" numFmtId="0" xfId="0" applyAlignment="1" applyBorder="1" applyFont="1">
      <alignment shrinkToFit="0" vertical="center" wrapText="0"/>
    </xf>
    <xf borderId="25" fillId="9" fontId="33" numFmtId="0" xfId="0" applyAlignment="1" applyBorder="1" applyFont="1">
      <alignment shrinkToFit="0" vertical="center" wrapText="0"/>
    </xf>
    <xf borderId="16" fillId="0" fontId="10" numFmtId="0" xfId="0" applyAlignment="1" applyBorder="1" applyFont="1">
      <alignment readingOrder="0" shrinkToFit="0" vertical="center" wrapText="0"/>
    </xf>
    <xf borderId="25" fillId="0" fontId="10" numFmtId="0" xfId="0" applyAlignment="1" applyBorder="1" applyFont="1">
      <alignment readingOrder="0" shrinkToFit="0" vertical="center" wrapText="0"/>
    </xf>
    <xf borderId="0" fillId="0" fontId="10" numFmtId="0" xfId="0" applyAlignment="1" applyFont="1">
      <alignment shrinkToFit="0" vertical="center" wrapText="0"/>
    </xf>
    <xf borderId="25" fillId="9" fontId="33" numFmtId="0" xfId="0" applyAlignment="1" applyBorder="1" applyFont="1">
      <alignment readingOrder="0" shrinkToFit="0" vertical="center" wrapText="0"/>
    </xf>
    <xf borderId="16" fillId="9" fontId="33" numFmtId="0" xfId="0" applyAlignment="1" applyBorder="1" applyFont="1">
      <alignment readingOrder="0" shrinkToFit="0" vertical="center" wrapText="0"/>
    </xf>
    <xf borderId="16" fillId="9" fontId="33" numFmtId="0" xfId="0" applyAlignment="1" applyBorder="1" applyFont="1">
      <alignment readingOrder="0" shrinkToFit="0" vertical="center" wrapText="0"/>
    </xf>
    <xf borderId="0" fillId="0" fontId="10" numFmtId="0" xfId="0" applyAlignment="1" applyFont="1">
      <alignment readingOrder="0" shrinkToFit="0" vertical="center" wrapText="0"/>
    </xf>
    <xf borderId="25" fillId="0" fontId="10" numFmtId="0" xfId="0" applyAlignment="1" applyBorder="1" applyFont="1">
      <alignment readingOrder="0" shrinkToFit="0" vertical="center" wrapText="0"/>
    </xf>
    <xf borderId="0" fillId="0" fontId="10" numFmtId="0" xfId="0" applyAlignment="1" applyFont="1">
      <alignment readingOrder="0" shrinkToFit="0" vertical="center" wrapText="0"/>
    </xf>
    <xf borderId="25" fillId="0" fontId="10" numFmtId="0" xfId="0" applyAlignment="1" applyBorder="1" applyFont="1">
      <alignment readingOrder="0" shrinkToFit="0" vertical="center" wrapText="0"/>
    </xf>
    <xf borderId="16" fillId="0" fontId="10" numFmtId="0" xfId="0" applyAlignment="1" applyBorder="1" applyFont="1">
      <alignment readingOrder="0" shrinkToFit="0" vertical="center" wrapText="0"/>
    </xf>
    <xf borderId="16" fillId="0" fontId="10" numFmtId="0" xfId="0" applyAlignment="1" applyBorder="1" applyFont="1">
      <alignment readingOrder="0" shrinkToFit="0" vertical="center" wrapText="0"/>
    </xf>
    <xf borderId="37" fillId="0" fontId="10" numFmtId="0" xfId="0" applyAlignment="1" applyBorder="1" applyFont="1">
      <alignment readingOrder="0" shrinkToFit="0" vertical="center" wrapText="0"/>
    </xf>
    <xf borderId="0" fillId="0" fontId="10" numFmtId="9" xfId="0" applyAlignment="1" applyFont="1" applyNumberFormat="1">
      <alignment shrinkToFit="0" vertical="center" wrapText="0"/>
    </xf>
  </cellXfs>
  <cellStyles count="1">
    <cellStyle xfId="0" name="Normal" builtinId="0"/>
  </cellStyles>
  <dxfs count="9">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B3F86"/>
          <bgColor rgb="FF5B3F86"/>
        </patternFill>
      </fill>
      <border/>
    </dxf>
    <dxf>
      <font/>
      <fill>
        <patternFill patternType="solid">
          <fgColor rgb="FFBB463C"/>
          <bgColor rgb="FFBB463C"/>
        </patternFill>
      </fill>
      <border/>
    </dxf>
    <dxf>
      <font/>
      <fill>
        <patternFill patternType="solid">
          <fgColor rgb="FF4A568D"/>
          <bgColor rgb="FF4A568D"/>
        </patternFill>
      </fill>
      <border/>
    </dxf>
    <dxf>
      <font/>
      <fill>
        <patternFill patternType="solid">
          <fgColor rgb="FF9B3642"/>
          <bgColor rgb="FF9B3642"/>
        </patternFill>
      </fill>
      <border/>
    </dxf>
  </dxfs>
  <tableStyles count="6">
    <tableStyle count="4" pivot="0" name="Companies-style">
      <tableStyleElement dxfId="1" type="headerRow"/>
      <tableStyleElement dxfId="2" type="firstRowStripe"/>
      <tableStyleElement dxfId="3" type="secondRowStripe"/>
      <tableStyleElement dxfId="4" size="0" type="wholeTable"/>
    </tableStyle>
    <tableStyle count="4" pivot="0" name="Pledges-style">
      <tableStyleElement dxfId="5" type="headerRow"/>
      <tableStyleElement dxfId="2" type="firstRowStripe"/>
      <tableStyleElement dxfId="3" type="secondRowStripe"/>
      <tableStyleElement dxfId="4" size="0" type="wholeTable"/>
    </tableStyle>
    <tableStyle count="4" pivot="0" name="Documents-style">
      <tableStyleElement dxfId="6" type="headerRow"/>
      <tableStyleElement dxfId="2" type="firstRowStripe"/>
      <tableStyleElement dxfId="3" type="secondRowStripe"/>
      <tableStyleElement dxfId="4" size="0" type="wholeTable"/>
    </tableStyle>
    <tableStyle count="4" pivot="0" name="Analysis 2 Timeline-style">
      <tableStyleElement dxfId="1" type="headerRow"/>
      <tableStyleElement dxfId="2" type="firstRowStripe"/>
      <tableStyleElement dxfId="3" type="secondRowStripe"/>
      <tableStyleElement dxfId="4" size="0" type="wholeTable"/>
    </tableStyle>
    <tableStyle count="4" pivot="0" name="Analysis 3 Materials-style">
      <tableStyleElement dxfId="7" type="headerRow"/>
      <tableStyleElement dxfId="2" type="firstRowStripe"/>
      <tableStyleElement dxfId="3" type="secondRowStripe"/>
      <tableStyleElement dxfId="4" size="0" type="wholeTable"/>
    </tableStyle>
    <tableStyle count="4" pivot="0" name="Analysis 3 Materials-style 2">
      <tableStyleElement dxfId="8"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1.xml"/><Relationship Id="rId10" Type="http://schemas.openxmlformats.org/officeDocument/2006/relationships/worksheet" Target="worksheets/sheet7.xml"/><Relationship Id="rId12" Type="http://schemas.openxmlformats.org/officeDocument/2006/relationships/pivotCacheDefinition" Target="pivotCache/pivotCacheDefinition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AA471" sheet="Pledges"/>
  </cacheSource>
  <cacheFields>
    <cacheField name="ID" numFmtId="0">
      <sharedItems containsString="0" containsBlank="1" containsNumber="1" containsInteger="1">
        <n v="1.0"/>
        <n v="2.0"/>
        <n v="3.0"/>
        <n v="4.0"/>
        <n v="5.0"/>
        <n v="6.0"/>
        <n v="7.0"/>
        <n v="8.0"/>
        <n v="9.0"/>
        <n v="10.0"/>
        <n v="11.0"/>
        <n v="12.0"/>
        <n v="13.0"/>
        <n v="14.0"/>
        <n v="16.0"/>
        <n v="17.0"/>
        <n v="18.0"/>
        <n v="19.0"/>
        <n v="20.0"/>
        <n v="21.0"/>
        <n v="22.0"/>
        <n v="23.0"/>
        <n v="24.0"/>
        <n v="25.0"/>
        <n v="26.0"/>
        <n v="27.0"/>
        <n v="29.0"/>
        <n v="30.0"/>
        <n v="31.0"/>
        <n v="32.0"/>
        <n v="33.0"/>
        <n v="34.0"/>
        <n v="35.0"/>
        <n v="36.0"/>
        <n v="37.0"/>
        <n v="38.0"/>
        <n v="39.0"/>
        <n v="40.0"/>
        <n v="41.0"/>
        <n v="42.0"/>
        <n v="43.0"/>
        <n v="44.0"/>
        <n v="45.0"/>
        <n v="46.0"/>
        <n v="47.0"/>
        <n v="49.0"/>
        <n v="50.0"/>
        <n v="51.0"/>
        <n v="52.0"/>
        <n v="53.0"/>
        <n v="54.0"/>
        <n v="55.0"/>
        <n v="56.0"/>
        <n v="57.0"/>
        <n v="58.0"/>
        <n v="59.0"/>
        <n v="60.0"/>
        <n v="61.0"/>
        <n v="62.0"/>
        <n v="63.0"/>
        <n v="64.0"/>
        <n v="65.0"/>
        <n v="66.0"/>
        <n v="67.0"/>
        <n v="68.0"/>
        <n v="69.0"/>
        <n v="70.0"/>
        <n v="71.0"/>
        <n v="72.0"/>
        <n v="73.0"/>
        <n v="74.0"/>
        <n v="76.0"/>
        <n v="77.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4.0"/>
        <n v="125.0"/>
        <n v="126.0"/>
        <n v="127.0"/>
        <n v="128.0"/>
        <n v="129.0"/>
        <n v="130.0"/>
        <n v="131.0"/>
        <n v="132.0"/>
        <n v="133.0"/>
        <n v="134.0"/>
        <n v="135.0"/>
        <n v="136.0"/>
        <n v="137.0"/>
        <n v="138.0"/>
        <n v="139.0"/>
        <n v="140.0"/>
        <n v="141.0"/>
        <n v="142.0"/>
        <n v="143.0"/>
        <n v="144.0"/>
        <n v="145.0"/>
        <n v="146.0"/>
        <n v="148.0"/>
        <n v="149.0"/>
        <n v="150.0"/>
        <n v="151.0"/>
        <n v="153.0"/>
        <n v="154.0"/>
        <n v="155.0"/>
        <n v="156.0"/>
        <n v="157.0"/>
        <n v="163.0"/>
        <n v="164.0"/>
        <n v="166.0"/>
        <n v="169.0"/>
        <n v="171.0"/>
        <n v="173.0"/>
        <n v="174.0"/>
        <n v="175.0"/>
        <n v="176.0"/>
        <n v="177.0"/>
        <n v="178.0"/>
        <n v="179.0"/>
        <n v="180.0"/>
        <n v="181.0"/>
        <n v="190.0"/>
        <n v="191.0"/>
        <n v="195.0"/>
        <n v="196.0"/>
        <n v="197.0"/>
        <n v="199.0"/>
        <n v="200.0"/>
        <n v="201.0"/>
        <n v="202.0"/>
        <n v="204.0"/>
        <n v="205.0"/>
        <n v="206.0"/>
        <n v="210.0"/>
        <n v="211.0"/>
        <n v="212.0"/>
        <n v="213.0"/>
        <n v="215.0"/>
        <n v="216.0"/>
        <n v="217.0"/>
        <n v="219.0"/>
        <n v="220.0"/>
        <n v="224.0"/>
        <n v="225.0"/>
        <n v="226.0"/>
        <n v="228.0"/>
        <n v="230.0"/>
        <n v="231.0"/>
        <n v="232.0"/>
        <n v="233.0"/>
        <n v="236.0"/>
        <n v="237.0"/>
        <n v="238.0"/>
        <n v="239.0"/>
        <n v="240.0"/>
        <n v="241.0"/>
        <n v="242.0"/>
        <n v="243.0"/>
        <n v="244.0"/>
        <n v="245.0"/>
        <n v="246.0"/>
        <n v="247.0"/>
        <n v="248.0"/>
        <n v="249.0"/>
        <n v="250.0"/>
        <n v="251.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304.0"/>
        <n v="305.0"/>
        <n v="306.0"/>
        <n v="307.0"/>
        <n v="308.0"/>
        <n v="309.0"/>
        <n v="310.0"/>
        <n v="311.0"/>
        <n v="313.0"/>
        <n v="314.0"/>
        <n v="315.0"/>
        <n v="316.0"/>
        <n v="317.0"/>
        <n v="320.0"/>
        <n v="321.0"/>
        <n v="322.0"/>
        <n v="323.0"/>
        <n v="324.0"/>
        <n v="325.0"/>
        <n v="326.0"/>
        <n v="327.0"/>
        <n v="328.0"/>
        <n v="329.0"/>
        <n v="330.0"/>
        <n v="331.0"/>
        <n v="332.0"/>
        <n v="333.0"/>
        <n v="334.0"/>
        <n v="335.0"/>
        <n v="336.0"/>
        <n v="337.0"/>
        <n v="338.0"/>
        <n v="339.0"/>
        <n v="341.0"/>
        <n v="342.0"/>
        <n v="345.0"/>
        <n v="346.0"/>
        <n v="347.0"/>
        <n v="348.0"/>
        <n v="349.0"/>
        <n v="350.0"/>
        <n v="351.0"/>
        <n v="352.0"/>
        <n v="353.0"/>
        <n v="356.0"/>
        <n v="357.0"/>
        <n v="358.0"/>
        <n v="359.0"/>
        <n v="361.0"/>
        <n v="365.0"/>
        <n v="367.0"/>
        <n v="369.0"/>
        <n v="370.0"/>
        <n v="371.0"/>
        <n v="372.0"/>
        <n v="373.0"/>
        <n v="374.0"/>
        <n v="375.0"/>
        <n v="376.0"/>
        <n v="377.0"/>
        <n v="378.0"/>
        <n v="379.0"/>
        <n v="380.0"/>
        <n v="381.0"/>
        <n v="382.0"/>
        <n v="383.0"/>
        <n v="384.0"/>
        <n v="387.0"/>
        <n v="388.0"/>
        <n v="389.0"/>
        <n v="390.0"/>
        <n v="391.0"/>
        <n v="392.0"/>
        <n v="393.0"/>
        <n v="394.0"/>
        <n v="395.0"/>
        <n v="396.0"/>
        <n v="397.0"/>
        <n v="402.0"/>
        <n v="410.0"/>
        <n v="411.0"/>
        <n v="412.0"/>
        <n v="413.0"/>
        <n v="414.0"/>
        <n v="415.0"/>
        <n v="417.0"/>
        <n v="418.0"/>
        <n v="419.0"/>
        <n v="422.0"/>
        <n v="424.0"/>
        <n v="426.0"/>
        <n v="427.0"/>
        <n v="428.0"/>
        <n v="429.0"/>
        <n v="430.0"/>
        <n v="431.0"/>
        <n v="432.0"/>
        <n v="433.0"/>
        <n v="434.0"/>
        <n v="436.0"/>
        <n v="437.0"/>
        <n v="438.0"/>
        <n v="439.0"/>
        <n v="440.0"/>
        <n v="441.0"/>
        <n v="442.0"/>
        <n v="443.0"/>
        <n v="444.0"/>
        <n v="445.0"/>
        <n v="446.0"/>
        <n v="447.0"/>
        <n v="448.0"/>
        <n v="449.0"/>
        <n v="450.0"/>
        <n v="451.0"/>
        <n v="452.0"/>
        <n v="453.0"/>
        <n v="454.0"/>
        <n v="456.0"/>
        <n v="457.0"/>
        <n v="458.0"/>
        <n v="459.0"/>
        <n v="460.0"/>
        <n v="461.0"/>
        <n v="464.0"/>
        <n v="466.0"/>
        <n v="467.0"/>
        <n v="468.0"/>
        <n v="470.0"/>
        <n v="471.0"/>
        <n v="472.0"/>
        <n v="473.0"/>
        <n v="474.0"/>
        <n v="475.0"/>
        <n v="476.0"/>
        <n v="477.0"/>
        <n v="478.0"/>
        <n v="479.0"/>
        <n v="480.0"/>
        <n v="481.0"/>
        <n v="483.0"/>
        <n v="484.0"/>
        <n v="485.0"/>
        <n v="487.0"/>
        <n v="490.0"/>
        <n v="492.0"/>
        <n v="499.0"/>
        <n v="500.0"/>
        <n v="501.0"/>
        <n v="502.0"/>
        <n v="506.0"/>
        <n v="519.0"/>
        <n v="520.0"/>
        <n v="521.0"/>
        <n v="523.0"/>
        <n v="525.0"/>
        <n v="526.0"/>
        <n v="527.0"/>
        <n v="529.0"/>
        <n v="530.0"/>
        <n v="544.0"/>
        <n v="562.0"/>
        <n v="563.0"/>
        <n v="564.0"/>
        <n v="565.0"/>
        <n v="566.0"/>
        <n v="567.0"/>
        <n v="569.0"/>
        <n v="571.0"/>
        <n v="573.0"/>
        <n v="574.0"/>
        <n v="578.0"/>
        <n v="581.0"/>
        <n v="582.0"/>
        <n v="584.0"/>
        <n v="586.0"/>
        <n v="587.0"/>
        <n v="588.0"/>
        <n v="589.0"/>
        <n v="590.0"/>
        <n v="591.0"/>
        <n v="592.0"/>
        <n v="593.0"/>
        <n v="594.0"/>
        <n v="595.0"/>
        <n v="596.0"/>
        <n v="597.0"/>
        <n v="598.0"/>
        <n v="600.0"/>
        <n v="602.0"/>
        <n v="603.0"/>
        <n v="604.0"/>
        <n v="605.0"/>
        <n v="606.0"/>
        <n v="607.0"/>
        <n v="608.0"/>
        <n v="609.0"/>
        <n v="610.0"/>
        <n v="611.0"/>
        <n v="612.0"/>
        <n v="613.0"/>
        <n v="614.0"/>
        <n v="615.0"/>
        <n v="625.0"/>
        <n v="626.0"/>
        <n v="627.0"/>
        <n v="628.0"/>
        <n v="629.0"/>
        <n v="630.0"/>
        <n v="631.0"/>
        <n v="632.0"/>
        <n v="633.0"/>
        <n v="634.0"/>
        <n v="637.0"/>
        <n v="638.0"/>
        <m/>
      </sharedItems>
    </cacheField>
    <cacheField name="Company" numFmtId="0">
      <sharedItems>
        <s v="Adidas"/>
        <s v="H&amp;M"/>
        <s v="Armani Group"/>
        <s v="Chanel"/>
        <s v="Ermenegildo Zegna"/>
        <s v="Hermès"/>
        <s v="Inditex"/>
        <s v="Zalando"/>
        <s v="L'Oréal"/>
        <s v="LVMH"/>
        <s v="Mango"/>
        <s v="Moncler"/>
        <s v="OVS"/>
        <s v="Prada"/>
        <s v="Primark"/>
        <s v="Puma"/>
        <s v="Salvatore Ferragamo"/>
      </sharedItems>
    </cacheField>
    <cacheField name="pledge status" numFmtId="0">
      <sharedItems>
        <s v="achieved"/>
        <s v="failed"/>
        <s v="unclear"/>
        <s v="future"/>
      </sharedItems>
    </cacheField>
    <cacheField name="Company response" numFmtId="0">
      <sharedItems containsBlank="1">
        <m/>
        <s v="In recent years, we have established comprehensive climate targets for both our own operations (scope 1 and 2) and our suppliers (scope 3) and report our progress based on these categories. Emissions from the company car fleet and business travel are cons"/>
        <s v="&quot;Der Bericht aus dem Jahr 2019 enthielt keinen relativen Anteil, erwähnt jedoch, dass bis Ende 2019 671 Lieferanten an Energieeffizienzprogrammen teilnahmen, und (auf Seite 6) heißt es, dass wir mit 757 Lieferanten zusammenarbeiteten.&quot;"/>
        <s v="target was dropped because the overall shift to sustainable cotton made the Flower label less relevant: &quot;Das EU-Umweltzeichen „Flower” wurde entwickelt, um zu zertifizieren, dass schädliche Substanzen begrenzt und der Wasserverbrauch in der gesamten Produ"/>
        <s v="target was meant to be achieved without offsets: &quot;Unser Bestreben war und ist es immer, das gesetzte Ziel ohne Ausgleich zu erreichen. Für den Fall, dass wir es nicht erreichen würden, wollten wir jedoch, da wir uns in einer frühen Phase unserer Klimastra"/>
        <s v="company says goal was changed after 2016 to account for different opening times: &quot;In unserem Nachhaltigkeitsbericht für 2017 haben wir einen Fortschritt von -9 Prozent in Richtung unseres Ziels für 2020 gemeldet, aber wir haben auch angekündigt, dass wir "/>
        <s v="company does not want to communicate total production numbers: &quot;Da wir keine absoluten Zahlen für die Gesamtzahl der produzierten Artikel angeben, vermittelt die Angabe von Prozentsätzen (im Verhältnis zur Gesamtzahl) ein genaueres Bild unseres Fortschrit"/>
        <s v="&quot;Wir verwenden für unser gesamtes Schuhsortiment zu 100 Prozent wasserbasiertes oder lösungsmittelfreies PU.&quot;"/>
        <s v="company explained via phone call that “logistics-related emissions” originally referred exclusively to Inditex’s own distribution centers. they added that measurement and reporting methodologies changed later—adapting to European standards (Scopes 1, 2, e"/>
        <s v="company explained via phone call: Join Life was a label for more sustainable items sold in stores. In 2022, the label was present on 50% of items. After surpassing that threshold, Inditex decided to phase it out, as the long-term goal was for all products"/>
        <s v="This target was already achieved in 2018, when, as stated in our Annual Report 2018 (see page 31), we switched to renewable energy, which led to a 16% reduction in CO2 emissions per order. In 2019, we continued to make more progress against this target an"/>
        <s v="By the end of 2019, 91% of our packaging materials stemmed from renewable sources (see Annual Report 2019, page 31). Since then, our sustainable sourcing strategy has evolved, focused on a move toward more specific and credible descriptions of sustainable"/>
        <s v="In 2024, we completed the transition to polybags made of 100% post-consumer recycled material (PCR). "/>
        <s v="Status: Significant progress made, target changed with new sustainability strategy and Science Based Targets. As of the end of 2023, Zalando had made significant progress toward this goal in its private labels (PL): 84% of its GMV from private label produ"/>
        <s v="The 2023 target for the elimination of single-use plastics for customers remains unmet, with a 5% residual use still reported. Inditex explained via phone call that this is mainly due to safety standards and the Zara Home product line, where some items st"/>
        <s v="Regarding the 2023 target for sustainable cotton and artificial cellulose fibres, Inditex explained via phone call that the gap is mainly due to certification issues. In some cases, suppliers fail to provide the required sustainability certificates. The t"/>
        <s v="The &quot;unclearliness&quot; of the pledge success was due to the change of &quot;sustainable&quot; with &quot;preferred&quot; materials that the company adopted in 2023. So the goal was change from &quot;100% sustainable&quot; to &quot;100% preferred&quot; materials. Nonetheless, the reply from the com"/>
        <s v="clarified by company: achieved"/>
        <s v="clarified by company: failed"/>
        <s v="Our Textile Tackback donation programme was launched in 2020 and is currently available in 10 of our markets which represents 87% of global store count. With the help of recycling partner Yellow Octopus Circular Solutions, we offer customers and colleague"/>
        <s v="Response in November 2025: &quot;All our stores and distribution centres are now certified to ISO 50001, the globally recognised standard for energy management systems.&quot;"/>
        <s v="Product sustainability advanced from early preferred materials to 9 out of 10 products made with certified or recycled materials by 2024, supported by circularity initiatives. We have reinforced our 2030 targets to align with EU regulations on product des"/>
        <s v="Hazardous chemicals were eliminated by 2017, and wastewater compliance reached over 90% since 2021."/>
        <s v="Regarding our energy use, we achieved 100% renewable electricity for our own operations by 2020 and exceeded our 2025 supplier renewable energy target in 2024."/>
        <s v="Volatile organic compounds (VOCs) emissions in footwear production dropped from 25 g/pair in 2015 to 11.5 g/pair in 2024, with a target below 10 g/pair by 2025. Broader air emission compliance was extended to 2030 due to new guidelines from industry organ"/>
        <s v="Company clarification: pledge achieved"/>
      </sharedItems>
    </cacheField>
    <cacheField name="specificity" numFmtId="0">
      <sharedItems>
        <s v="high"/>
        <s v="medium"/>
        <s v="low"/>
      </sharedItems>
    </cacheField>
    <cacheField name="category" numFmtId="0">
      <sharedItems>
        <s v="hazardous substances"/>
        <s v="sustainable materials"/>
        <s v="waste management"/>
        <s v="energy"/>
        <s v="emissions"/>
        <s v="water use"/>
        <s v="animal products"/>
        <s v="others"/>
        <s v="eco certification"/>
        <s v="circular economy"/>
        <s v="traceability"/>
        <s v="environmental protection"/>
      </sharedItems>
    </cacheField>
    <cacheField name="subcategory" numFmtId="0">
      <sharedItems containsBlank="1">
        <s v="solvent-based adhesives"/>
        <s v="PVC"/>
        <m/>
        <s v="cotton"/>
        <s v="emissions - relative"/>
        <s v="emissions - absolute"/>
        <s v="leather"/>
        <s v="emissions - net zero"/>
        <s v="renewables"/>
        <s v="cotton, leather"/>
      </sharedItems>
    </cacheField>
    <cacheField name="pledge year" numFmtId="0">
      <sharedItems containsSemiMixedTypes="0" containsString="0" containsNumber="1" containsInteger="1">
        <n v="2000.0"/>
        <n v="2001.0"/>
        <n v="2008.0"/>
        <n v="2010.0"/>
        <n v="2017.0"/>
        <n v="2016.0"/>
        <n v="2023.0"/>
        <n v="2021.0"/>
        <n v="2024.0"/>
        <n v="2002.0"/>
        <n v="2003.0"/>
        <n v="2004.0"/>
        <n v="2005.0"/>
        <n v="2006.0"/>
        <n v="2007.0"/>
        <n v="2018.0"/>
        <n v="2009.0"/>
        <n v="2019.0"/>
        <n v="2020.0"/>
        <n v="2011.0"/>
        <n v="2012.0"/>
        <n v="2013.0"/>
        <n v="2022.0"/>
        <n v="2014.0"/>
        <n v="2015.0"/>
        <n v="2025.0"/>
      </sharedItems>
    </cacheField>
    <cacheField name="goal year" numFmtId="0">
      <sharedItems containsSemiMixedTypes="0" containsString="0" containsNumber="1" containsInteger="1">
        <n v="2001.0"/>
        <n v="2002.0"/>
        <n v="2003.0"/>
        <n v="2010.0"/>
        <n v="2015.0"/>
        <n v="2018.0"/>
        <n v="2017.0"/>
        <n v="2020.0"/>
        <n v="2024.0"/>
        <n v="2025.0"/>
        <n v="2030.0"/>
        <n v="2050.0"/>
        <n v="2004.0"/>
        <n v="2005.0"/>
        <n v="2006.0"/>
        <n v="2007.0"/>
        <n v="2008.0"/>
        <n v="2009.0"/>
        <n v="2019.0"/>
        <n v="2011.0"/>
        <n v="2012.0"/>
        <n v="2013.0"/>
        <n v="2023.0"/>
        <n v="2022.0"/>
        <n v="2014.0"/>
        <n v="2016.0"/>
        <n v="2026.0"/>
        <n v="2040.0"/>
        <n v="2029.0"/>
        <n v="2021.0"/>
        <n v="2035.0"/>
        <n v="2032.0"/>
        <n v="2027.0"/>
        <n v="2033.0"/>
        <n v="2028.0"/>
      </sharedItems>
    </cacheField>
    <cacheField name="goal description" numFmtId="0">
      <sharedItems>
        <s v="To reduce solvent use from 80 grams to 50 grams per pair of shoes."/>
        <s v="All adidas accessories and gear products to be PVC-free by end of 2001."/>
        <s v="achieve a solvent level close to 25 grams per pair by the end of 2002. in footwear factories"/>
        <s v="eliminate PVC from products, except for products where appropriate alternatives do not exist, such as for ski boots and a few high-performance sports equipment products."/>
        <s v="Reducing VOCs in footwear factories in Asia"/>
        <s v="No use of one-way dishes or non-compostable one-way dishes"/>
        <s v="‘Better Cotton’ (‘Sustainable Cotton’) use: 40% by 2015, 100% by 2018 of all cotton used."/>
        <s v="Reduction of relative energy use by 20%"/>
        <s v="30% carbon savings"/>
        <s v="20% water savings per employee"/>
        <s v="Reduction of household waste by 25% per employee"/>
        <s v="50% paper savings per employee"/>
        <s v="Business Trip Management: Reduce emissions caused by business travel to 570 kg CO2 per employee"/>
        <s v="‘Green’ Company Car Policy: Reduce carbon emissions caused by the company car fleet by 30%"/>
        <s v="10-15% cut in energy emissions by product output at core suppliers."/>
        <s v="100% of footwear and an increasing amount of appa rel to have ‘more susta inable content’ (by 2012), i.e. to be included into the Better Plac e product range (in 2010 defined as applica ble to the adidas Sports Performance division, but in the meantime ex"/>
        <s v="100% sustainable cotton"/>
        <s v="In September, our CEO Kasper Rorsted brought our commitment to sustainability to a new level by calling on all adidas showrooms, retail stores, distribution centres and offices worldwide to remove single use plastic by the end of 2017"/>
        <s v="20% water savings at our strategic suppliers"/>
        <s v="50% water savings at our apparel material suppliers"/>
        <s v="35% water savings per employee at our own sites"/>
        <s v="20% waste reduction at our strategic suppliers"/>
        <s v="50% waste diversion from landfill for owned operations (offices, distribution centers, retail)"/>
        <s v="75% paper reduction per employee at own sites"/>
        <s v="20% energy savings at strategic suppliers"/>
        <s v="3% absolute annual reduction Scope 1&amp;2 emissions at own sites"/>
        <s v="share of wool that is certified by Textile Exchange’s Responsible Wool Standard (‘RWS’)"/>
        <s v="share of our polyester to be recycled polyester"/>
        <s v="Own operations: Achievement of climate neutrality (CO2e)"/>
        <s v="Own operations: 15% consumption reduction (m3/m2) vs 2019"/>
        <s v="Own operations: 95% diversion rate vs 2019"/>
        <s v="15% reduction of GHG emissions per product vs 2017"/>
        <s v="Per product: Scope 1 to 3 GHG emissions per product  ('carbon intensity’; in kg CO2e)4 By 2025, reduction of 9% measured against a baseline value of 2022 5"/>
        <s v="share of facilities achieving ZDHC Wastewater Foundational Level: improve the quality of wastewater in selected Tier 1 and Tier 2 suppliers, by achieving recognized industry standards."/>
        <s v="eliminating the use of any restricted substances: number of chemical formulations that meet the highest conformance level according to industry standards."/>
        <s v="reduce the overall water intensity at adidas’ water-intensive Tier 2 production facilities by 40%"/>
        <s v="share of waste from Tier 1 and Tier 2 suppliers diverted from landfills by 2025"/>
        <s v="sustainable article share"/>
        <s v="30% reduction of GHG emissions vs 2017 in Entire value chain (from raw material production to own operations)"/>
        <s v="Scope 1 and 2 GHG emissions  (in tons CO2e) By 2030, reduction of 70% measured against a baseline of 2022"/>
        <s v="Scope 3 GHG emissions  (in tons CO2e) By 2030, reduction of 42% measured against a baseline of 2022"/>
        <s v="Deforestation- and conversion-free (DCF) bovine leather – all bovine leather sourced by adidas, excluding recycled leather and leather trims"/>
        <s v="share of polyester to come from recycled textile waste"/>
        <s v="Net zero: Scope 1 to 3 GHG emissions (in tons CO2e) By 2050, achieve net-zero GHG emissions across our value chain6"/>
        <s v="Net zero: Cut direct Scope 1 to 3 GHG emissions (in tons CO2e) by 90%"/>
        <s v="No laying of new PVCflooring (except extensions to or repairs of existing flooring)"/>
        <s v="85% of all purchased IT products must meet the minimum environmental requirements of our ECOdeclarations for IT products"/>
        <s v="Plastic cards used as staff cards, club cards and gift vouchers in PVC-free material"/>
        <s v="75% of all purchased IT products must meet the minimum environmental requirements of our ECOdeclarations for IT products"/>
        <s v="Starting to include 5% organic cotton in baby and children’s’ garment from Turkey and maybe india"/>
        <s v="use at least 20 tonnes of organic cotton in our products"/>
        <s v="Test H&amp;M plastic consumer bags made of biodegradable material in at least one sales country"/>
        <s v="mix at least 100 tonnes of organic cotton into parts of our range"/>
        <s v="launch collections in 100 per cent organic cotton"/>
        <s v="To label at least one million baby garments with the Flower, the EU’s eco-label"/>
        <s v="We have set a target to use 50 tonnes of transitional cotton during 2008."/>
        <s v="We have set a target to increase our use of organic cotton by 50 per cent in 2008."/>
        <s v="To label at least 1.5 million garments with the Flower, the EU’s eco-label"/>
        <s v="reduce the emissions by a total of 10 per cent (on comparable figures) between 2005 and 2009"/>
        <s v="For 2009 our transitional cotton target is 250 tonnes."/>
        <s v="To label at least 1.7 million garments with the Flower, the EU’s eco-label"/>
        <s v="30% of factories enrolled in an energy efficiency programme by the end of 2019."/>
        <s v="launch a new recycled PE plastic bag in selected countries in early 2010, followed by remaining countries later in the year"/>
        <s v="In 2010, we will begin using organic cotton in all of our Flower baby garments. Some of these garments will be made of 100% organic cotton and others will be made of an organic cotton blend"/>
        <s v="Reduce H&amp;M group’s carbon dioxide emissions relative to sales by a minimum of 5% per year compared to the previous year – from 2010 through to 2012."/>
        <s v="We have set a target to increase organic cotton use by at least 50% every year until 2013, based on the previous year’s target. The baseline for this staged increase is our 2008 target of 2,000 tonnes. Increasing by 50% each year from this level will mean"/>
        <s v="Reduce energy consumption per square metre of commercial premises by a minimum of 20% by 2020 compared to base year 2007 reference levels"/>
        <s v="Work towards exceeding the European Commission’s target of sourcing 20% renewable energy by 2020."/>
        <s v="H&amp;M’s aim is for all cotton in our range to come from sustainable sources by 2020 at the latest. Better Cotton, organic and recycled cotton are types of cotton that we currently define as sustainable."/>
        <s v="Use of 25% of raw materials that meet specific sustainability criteria by 2025"/>
        <s v="Use of electricity produced 100% from renewable sources for the Group's Italian offices and stores by 2023"/>
        <s v="Commitment to eliminate single-use plastic from B2C packaging by 2025"/>
        <s v="Reduction of production water usage compared to 2017 baseline (l/kg, l/pc, l/m) 1 — see bar chart below"/>
        <s v="% of water recycled out of total production water consumption"/>
        <s v="Commitment to eliminate single-use plastic from B2B packaging by 2030"/>
        <s v="For shoes, we began to implement our production using water-based glues in three factories, which together produced more than 450,000 pairs of shoes. We aim to encourage more suppliers to switch to waterbased alternatives and aim to increase production to"/>
        <s v="We also plan to produce 500,000 pairs of leather shoes in 2011 with leather from certified tanneries."/>
        <s v="Make baby garments with the Flower label 100% organic cotton by 2012"/>
        <s v="Our goal for 2012 is now to produce 7 million pairs."/>
        <s v="We will revert to the target to produce 500,000 pairs of shoes in 2012."/>
        <s v="Supplier Energy Efficiency Programmes: The programmes connect supplier factories to energy service companies to identify potential efficiency gains and provide support for developing action plans to take advantage of these"/>
        <s v="we set the goal to save 100 million litres in 2011"/>
        <s v="reduce total emissions (Scope 1-3) compared to 2012"/>
        <s v="waste handled in our distribution centers to be recycled"/>
        <s v="make all shoes with water based adhesives instead of VOCs"/>
        <s v="install water-efficient equipment, such as low-flow taps, in all stores and distribution centers and offices"/>
        <s v="goal to only source virgin wool from RWS-certified farms"/>
        <s v="% of polyester from recycled sources 100% by 2025"/>
        <s v="all approx. 500 supplier factories to have water management systems in place"/>
        <s v="use only certified wool"/>
        <s v="use only certified down (specified 2016 p 33: Responsible Down Standard (RDS))"/>
        <s v="Make 300% more garments with recycled fabric from collected garments"/>
        <s v="reduce absolute transport-related emissions by 30% by 2025, compared to a 2018 baseline."/>
        <s v="Reduce packaging across the value chain by 25% by 2025 (2018 baseline)."/>
        <s v="All packaging designed to be reusable, recyclable or compostable by 2025."/>
        <s v="100% of packaging made from recycled or other sustainably sourced material by 2030, with a preference for recycled materials where possible"/>
        <s v="Reuse or recycle 100% of packaging waste from our own sites by 2025."/>
        <s v="25% post recycled plastic across all packaging used."/>
        <s v="By 2026, phase out on-site coal from all of our garment suppliers in tier 1, 2 and 32."/>
        <s v="Use recycled polyester equivalent to at least 60 million PET bottles"/>
        <s v="To become circular* on 80% of the store concepts by 2025. * As defined in the Circular Assessment Tool developed together with the Ellen MacArthur Foundation"/>
        <s v="To use 100% recycled or other sustainably sourced materials* by 2030. * H&amp;M brand."/>
        <s v="To use 100% Responsible Wool Standard (RWS) certified wool in our products by 2022."/>
        <s v="To increase the volume of collected garments to 25,000 tonnes per year by 2020."/>
        <s v="To become climate positive throughout our value chain by 2040."/>
        <s v="achieve a 36 percent reduction in electricity intensity in our stores from a 2016 baseline"/>
        <s v="20% of factories enrolled in an energy efficiency programme by 2018."/>
        <s v="30% greenhouse gases reduction per product by 2025 compared to 2017 baseline."/>
        <s v="100% of factories enrolled in an energy efficiency programme by 2025."/>
        <s v="% of electricity from power purchase agreements (PPAs) with new renewable electricity generation"/>
        <s v="Reduce scope 1 and 2 GHG emissions 40% by 2030 (2017 baseline)."/>
        <s v="Reduce scope 3 GHG emissions from purchased raw materials, fabric production and garments 59% per product by 2030 (2017 baseline)."/>
        <s v="Climate: % absolute reduction (scopes 1 and 2) in CO2e emissions compared with 2019 baseline1,2,3"/>
        <s v="Source 100% renewable electricity by 2030."/>
        <s v="% change in absolute total freshwater use (2022 baseline)8"/>
        <s v="Commitment to purchase 50% of recycled plastic in packaging by 2030"/>
        <s v="Reduction by 30% of emissions under direct control by 2030"/>
        <s v="Use of electricity produced 100% from renewable sources for the Group's European offices and stores by 2025"/>
        <s v="Commitment to purchase 100% of FSC/PFSC certified paper: B2C by 2025"/>
        <s v="Commitment to purchase 100% of FSC/PFSC certified paper: B2B by 2030"/>
        <s v="Commitment to purchase 50% recycled plastic for packaging: B2C by 2025"/>
        <s v="Commitment to purchase 50% recycled plastic for packaging: B2B by 2030"/>
        <s v="-50% in Scope 1 and 2 greenhouse gas emissions by 2030 compared to 2019"/>
        <s v="-42% in Scope 3 emissions, by 2029 compared to 2019"/>
        <s v="100% traceability of key raw materials by 2025"/>
        <s v="100% electricity from renewable sources for all the Group’s sites and stores by 2030"/>
        <s v="By 2030, decrease our own carbon footprint (scopes 1 and 2) by 50%, which is equivalent to a 66% reduction per unit sold. (baseline 2018)"/>
        <s v="By 2030, aim to decrease emissions from our value chain (scope 3) by 40% per unit sold. (baseline 2018)"/>
        <s v="By 2025, shift to 100% renewable electricity in our own operations, with an interim goal of 97% in 2021"/>
        <s v="By 2021, reach the interim goal of 97% renewable electricity"/>
        <s v="By 2030, -50% emissions Scope 1 &amp; 2 baseline 2021"/>
        <s v="By 2030, -42% emissions Scope 3 (absolute emissions) (baseline 2021)"/>
        <s v="By 2040, -90% absolute emissions Scope 1 &amp; 2 baseline 2021"/>
        <s v="By 2040, -90% emissions Scope 3 (absolute emissions) (baseline 2021)"/>
        <s v="By 2030,  reduce absolute scope 3 GHG forest, land and agriculture emissions by 30.3% (baseline 2021)"/>
        <s v="By 2040,  reduce absolute scope 3 GHG forest, land and agriculture emissions by 72% (baseline 2021)"/>
        <s v="100% renewable energy across own operations"/>
        <s v="25% of key raw materials to have lower climate impact"/>
        <s v="All leased vehicles with plug-in hybrid (PHEV) or full electric (BEV) vehicles"/>
        <s v="Zegna Forest: The project will include a total of 140 hectares of owned woodland, to safeguard the environment in Oasi Zegna and for the benefit of the woods of Oasi Zegna. Supported by a scientific committee, new species have been and will continue to be"/>
        <s v="Implementation of Science-Based Targets for Climate to achieve net-zero by 2050."/>
        <s v="Elimination of problematic and unnecessary plastics in B2C packaging by 2025"/>
        <s v="Elimination of problematic and unnecessary plastics in B2B packaging by 2030"/>
        <s v="at least half of all plastic packaging is 100% recycled content by 2025 for B2C."/>
        <s v="at least half of all plastic packaging is 100% recycled content by 2030 for B2B."/>
        <s v="Reaching 50% of sourced top raw materials from traceable origin and from lower-impact sources by 2026"/>
        <s v="Formalize its own animal welfare policy by 2022 and embed it into the lower-impact raw material certifications"/>
        <s v="95% of products enabled with a product traceability system"/>
        <s v="ZDHC Foundational compliance level (MRSL, Wastewaters) for all group production sites, by 2023"/>
        <s v="Top executives’ long-term incentives linked to ESG targets by 2022"/>
        <s v="reduce absolute scope 1 and 2 GHG emissions 50.4% by 2032 from a 2021 base year"/>
        <s v="reduce absolute scope 3 GHG emissions from purchased goods and services, fuel and energy-related activities, employee commuting, and investments 50.4% by 2032 from a 2021 base year."/>
        <s v="Net-zero GHG emissions across the value chain by 2050 from a 2021 base year."/>
        <s v="reduce absolute scope 1 and 2 GHG emissions 90% by 2050 from a 2021 base year"/>
        <s v="reduce absolute scope 3 GHG emissions 90% by 2050 from a 2021 base year"/>
        <s v="100% electricity from renewable sources for the Group by 2027, (scope 2)"/>
        <s v="100% electricity from renewable sources in Europe &amp; US by 2024, (scope 2)"/>
        <s v="100% fully electric or plug-in hybrid corporate vehicles by 2025 (scope 1)"/>
        <s v="&gt;90% Made in Italy supply of yarns &amp; fabrics by 2025"/>
        <s v="reduce absolute scope 3 FLAG GHG emissions 36.4%, by 2032 from a 2022 base year"/>
        <s v="commits to no deforestation across its primary-linked commodities, with a target date of December 31, 2025"/>
        <s v="100% of the cattle and calf leather we use is sourced from Leather Working Group (LWG) Silver or Gold certified tanneries"/>
        <s v="Reuse and recycle 7% of water used in general services at Lanificio Ermenegildo Zegna starting from 2027."/>
        <s v="Reuse and recycle 3% of total water withdrawn by Lanificio Ermenegildo Zegna, corresponding to around 10,000 cubic meters, starting from 2027"/>
        <s v="By 2030, a 50% reduction in the carbon footprint per square meter of new or renovated real estate."/>
        <s v="By 2030, the implementation of 100% renewable energy in directs operations (unless technically impossible)"/>
        <s v="By 2025, implement a policy of 100% renewable electricity within its own operations"/>
        <s v="By 2025, convergence towards 25% of key raw materials with the leasts impact on the climate"/>
        <s v="- 50.4% reduction in absolute GHG emissions for scopes 1 and 2 (by 2030 compared to the reference year 2018)"/>
        <s v="- 58.1% reduction in GHG emissions in relative value (per million euros of gross margin) for Scope 3 (by 2030 compared to the 2018 baseline year)"/>
        <s v="Reduce the intensity of its industrial water use by 5% per year "/>
        <s v="Hermès has set itself the objective of not destroying new products intended for sale, particularly for clothing, by 2022 (under the AGEC law in France)."/>
        <s v="By 2030, 100% of single-use plastics eliminated"/>
        <s v="By 2023 equip all stores with 100%-LED lighting, unless this is technically impossible"/>
        <s v="Objective of reaching 100% of leather suppliers undergo assessment using the LWG audit protocol by 2024."/>
        <s v="Zero net CO2 emissions, reduction in gross emissions vs. 2018 and offset of 100% of residual emissions"/>
        <s v="Achievement of the objectives set by the Animal Welfare policy for 100% of the Group’s animal sectors by 2025"/>
        <s v="By 2024, 100% of suppliers aligned with the CSR brief and the supply chain brief"/>
        <s v="80% of suppliers self‑assessed via the CSR questionnaire in 2024"/>
        <s v="Reduce energy consumption in France (industrial sites, tertiary buildings and exclusive stores) by 10% in 2023 compared to 2019."/>
        <s v="Achieve offsetting of 50% of our residual emissions between 2030 and 2040, and 100% by 2050"/>
        <s v="Achieve offsetting of 100% of our residual emissions by 2050"/>
        <s v="Reduce dormant leather inventories by 75% between 2021 and 2024"/>
        <s v="By 2023, make 50% of covers in GOTS‑certified cotton or using recycled silk"/>
        <s v="Map all of our supply chains and cover 100% of the Group’s activity by the end of 2023"/>
        <s v="By 2025, make 100% of covers in GOTS‑certified cotton or using recycled silk"/>
        <s v="100% of unsold items recycled or donated (globally)"/>
        <s v=" Certification and/or award of label status for 54 supply chains"/>
        <s v="Objective to participate in at least three biodiversity projects with partners per year until the end of 2026."/>
        <s v="Conduct at least two studies per year with academic partners on biodiversity issues until the end of 2026"/>
        <s v="By 2030, Hermès aims to broaden the scope of its actions to include other “secondary” raw materials in its portfolio, such as certain perfume ingredients or particle boards, and to explore investment opportunities beyond its supply chains to accelerate se"/>
        <s v="Zero discharge of hazardous chemicals by 2020"/>
        <s v="20% reduction of logistic related emissions"/>
        <s v="100% of eco-efficient shops by 2020"/>
        <s v="All garments will carry the &quot;green to wear&quot; label"/>
        <s v="Investment in textile recycling technology will reach 3.5 million dollars"/>
        <s v="80% of renewable energy in all instalations in 2025"/>
        <s v="reduce carbon, water and waste footprint of our suppliers: 10% carbon, waste and water savings, signed up to European Clothing Action Plan"/>
        <s v="products sourced from factorys in FIP (Factory Improvement Program) of private labels"/>
        <s v="reduce CO2 emissions per order"/>
        <s v="all packaging procured by zalando sustainably sourced"/>
        <s v="By 2023 we aim to generate 25% of our GMV (Gross Merchandise Volume) with more sustainable products."/>
        <s v="grow the selection of sustainable fashion in the online store"/>
        <s v="We are committed to sourcing 50% (or an estimated 1,000 MT) of our cotton asBetter Cotton by  end of 2020"/>
        <s v="80% reduction in emissions from our own operations compared to 2017."/>
        <s v="design our packaging to minimize waste and keep materials in use, specifically eliminating singleuse plastics"/>
        <s v="Zalando commits to increase annual sourcing of renewable electricity from 34% in 2017 to 100% by 2025."/>
        <s v="Zalando commits to reduce Scope 3 GHG emissions from private label products by 40% per million euros gross profit by 2025 from a 2018 base year"/>
        <s v="Zalando also commits that 90% of its suppliers (by emissions covering purchased goods and services sold on its platform, packaging and last-mile-delivery partners) will have set science-based targets by 2025."/>
        <s v="By the end of 2021, our aim is for 70% of our private label products to fulfill our sustainability criteria and carry the sustainability flag, compared with 50% at present"/>
        <s v="By 2023, we apply the principles of circularity and extend the life of at least 50 million fashion products"/>
        <s v="For private labels: 100% more sustainable man-made cellulosics by 2023 (includes LENZING™ TENCEL™, LENZING™ viscose, generic lyocell, and responsible modal and viscose)."/>
        <s v="For private labels: 100% more sustainable cotton by 2023 (includes organic cotton, recycled cotton, and cotton sourced through the Better Cotton Initiative)."/>
        <s v="For private labels: 100% more sustainable leather by 2023 (including from Leather Working Group-rated tanneries, chromefree leather, and innovative leather alternatives)."/>
        <s v="For private labels: 100% responsible animal fibers by 2023 (includes organic and recycled standards, as well as Responsible Wool Standard, Responsible Alpaca Standard, Responsible Mohair Standard, Responsible Down Standard)."/>
        <s v="For private labels: 50% recycled polyester by 2023."/>
        <s v="We initiated a transition to polybags with 100% postconsumer recycled content (PCR) achieving 52% of our procured volume. We aim to complete this transition in 2024."/>
        <s v="by the end of 2024, all of our PL products incorporate at least one sustainability-related attribute."/>
        <s v="Net-zero by 2040 in our own operations and private labels, and by 2050 for the remaining company value chain emissions (which include fashion brand partners, packaging and transportation emissions)."/>
        <s v="Fully phase out virgin polyester for our private labels and transition to preferred options (e.g., recycled polyester) by 2033."/>
        <s v="Fully phase out conventional cotton for our private labels by 2033, and transition to organic, regenerative and recycled cotton, among others"/>
        <s v="100% of shops have containers for collecting used clothing in 2020"/>
        <s v="Elimination of plastic bags"/>
        <s v="Elimination of single-use plastics for customers"/>
        <s v="By 2023, none of the waste from headquarters, shops and logostics will end in up in landfill"/>
        <s v="more than half of garments labelled with &quot;Join Life&quot;"/>
        <s v="All cotton and artificial cellulose fibres will come from sustainable sources"/>
        <s v="Reduce water consumption by 25% in the supply chain"/>
        <s v="By 2025, all polyester and linen will come from more sustainable sources."/>
        <s v="Zara pre-owned launched in key markets in 2025"/>
        <s v="Reducing emissions by over 53% in 2030"/>
        <s v="100% of textile products will only use materials that delivera  lower impact"/>
        <s v="No supplier uses coal in 2030"/>
        <s v="Zero net emissions"/>
        <s v="5 million hectares protected, restored or regenerated by 2030"/>
        <s v="Reduce our emissions by more than 20% (in our value chain and own operations) compared to 2018."/>
        <s v="Commitment to halve carbon emissions in absolute value (scope 1 &amp; 2) (baseline 2005)"/>
        <s v="Commitment to halve waste generationper finished product produced(baseline 2005)"/>
        <s v="Commitment to halve water consumption perfinished product (baseline 2005)"/>
        <s v="By 2020, innovate so that 100% of products have an environmental or social benefit."/>
        <s v="By 2020, reduce CO2 emissions at our plants and distribution centres by 60% in absolute terms, from a 2005 baseline."/>
        <s v="By 2020,  reduce our water consumption by 60% per finished product unit, from a 2005 baseline."/>
        <s v="By 2020,  reduce waste by 60% per finished product unit, from a 2005 baseline"/>
        <s v="Until 2020, send zero waste to landfill"/>
        <s v="By 2020, reduce our CO2 emissions from transportation of products by 20% per finished product unit from a 2011 baseline."/>
        <s v="By 2030, overarching commitment to &quot; reduce by 50% per finished product (which represents -25% in absolute terms) all our greenhouse gas emissions (scopes 1, 2 and 3) (baseline 2016"/>
        <s v="By 2030, reduce greenhouse gas emissions associated with the use of our products by an average of 25% per finished product, compared to 2016."/>
        <s v="By 2030, we will reduce greenhouse gas emissions related to the transportation of our products by an average of 50% per finished product compared to 2016."/>
        <s v="By 2030, our strategic suppliers will reduce their direct greenhouse gas emissions (scope 1 and 2) by 50% in absolute terms compared to 2016."/>
        <s v="By 2025, commitment to achieve carbon neutrality in all of our sites, by improving energy efficiency and using 100% renewable energy"/>
        <s v="By 2030, evaluate 100% of formulas to ensure their safety for aquatic ecosystem diversity."/>
        <s v="By 2030, reduce water consumption related to product use by an average of 25% per finished product compared to 2016."/>
        <s v="By 2030, 100% of the water used in the industrial process will be recycled and reused in a loop"/>
        <s v="By 2030, 95% of the ingredients in our formulas will be bio-sourced, derived from abundant minerals or circular processes."/>
        <s v="By 2030, we will reduce the amount of packaging used for our products by 20% in intensity compared to 2019."/>
        <s v="By 2025, 50% of the plastic used in packaging will be either from recycled or biobased sources "/>
        <s v="By 2030, 100% of the plastic used in packaging will be either from recycled or biobased sources"/>
        <s v="By 2025, 100% of our plastic packaging will be refillable, reusable, recyclable or compostable."/>
        <s v="By 2025, 100% of our new Free Standing Stores will be designed and built following our sustainability principles.."/>
        <s v="By 2030, commitment to holding flat, by 2030, the total land occupancy vital to the sourcing of our ingredients, compared to 2019."/>
        <s v="By 2030, guarantee that 100% of ingredients in formulas and biobased packaging materials are traceable and come from sustainable sources"/>
        <s v="By 2030, ensure that all industrial sites and buildings operated by L’Oréal have a positive impact on biodiversity, compared to 2019"/>
        <s v="By 2030, recover (reuse or recycle) 100% of waste generated on industrial sites."/>
        <s v="By 2030, reduce Scopes 1 &amp; 2 GHG emissions by 57% in absolute value (baseline 2019)"/>
        <s v="By 2030, reduce Scope 3 GHG emissions by 28% in absolute value (baseline 2019)"/>
        <s v="By 2050, reduce Scopes 1, 2 &amp; 3 carbon emissions by 90%, compared with 2019 "/>
        <s v="By 2030, ensure that at least 90% of the bio-based ingredients and materials used in our formulas and packaging come from sustainable sources."/>
        <s v="By 2030, we will ensure that more than 75% of the ingredients used in our formulas are sourced from nature (plant or mineral) or recycled materials."/>
        <s v="By 2030, regenerate an area of land greater than our footprint within priority ecosystems to improve their health and resilience."/>
        <s v="Reducing its energy consumption by 20%"/>
        <s v="Increase consumption of renewable energy at sites in the greater Paris region by 50%"/>
        <s v="Reach 30% of renewable energy in the energy mix"/>
        <s v="Replace 100% of retail space with full LED lighting"/>
        <s v="The Maisons in the Perfumes &amp; Cosmetics groups have committed to improving the Environmental Performance Index (EPI) for the packaging of their products by 10% between 2013 and 2020"/>
        <s v="The Maisons in the Wines &amp; spirit Champagne groups have committed to improving the Environmental Performance Index (EPI) for the packaging of their products by 10% between 2013 and 2020"/>
        <s v="The Maisons in the Wines &amp; spirit Cognac groups have committed to improving the Environmental Performance Index (EPI) for the packaging of their products by 10% between 2013 and 2020"/>
        <s v="The Perfumes &amp; Cosmetics Maisons have set themselves the objective of using 70% of palm oil derivatives certified by the RSPO (Roundtable on Sustainable Palm Oil)"/>
        <s v="LVMH has set itself the objective of using 70% of leather from LWG-certifi ed tanneries by 2020"/>
        <s v="Sustainable viticulture certification for LVMH-owned vineyards around the world"/>
        <s v="Certified cotton (BCI or organic cotton, etc.) or recycled cotton"/>
        <s v="Fox, mink &amp; racoon certification"/>
        <s v="All fur certification"/>
        <s v="RJC COP diamond certification"/>
        <s v="RJC COP gold certification"/>
        <s v="Reduce greenhouse gas emissions relating to energy consumption (scope 1 &amp; 2) by 25% (baseline 2013)"/>
        <s v="Objective of reducing at least one of the following three indicators by 10% by 2020: water consumption, energy consumption and waste generation (baseline 2013)"/>
        <s v="Rolling out an environmental management system (ISO 14001, or EMAS, etc.) at 100% of the manufacturing sites"/>
        <s v="Commitment to reducing its stores’ energy consumption per square meter by 30% "/>
        <s v="By 2026, target of zero plastic from virgin fossil oil"/>
        <s v="By 2026, LVMH wants 100% of its strategic raw materials certified to the highest standards guaranteeing the preservation of ecosystems"/>
        <s v="By 2030, LVMH will support regenerative agriculture, targeting the preservation or restoration of 5 million hectares (50,000 sq. km) of habitat for flora and fauna"/>
        <s v="By 2030, LVMH aims to reduce (and/or avoid) scope 3 greenhouse gas emissions per unit of added value by 55% (baseline 2019)"/>
        <s v="By 2026, LVMH aims to halve emissions from energy consumption (Scope 1 &amp; 2) (baseline 2019)"/>
        <s v="By 2026, 100% renewable or low-carbon energy at sites and stores"/>
        <s v="Introducing new circular services (repairs, upcycling, etc.)"/>
        <s v="30% reduction in water withdrawal"/>
        <s v="Eliminating hazardous substances throughout the supply chain"/>
        <s v="Zero discharge of chemicals in the supply chain"/>
        <s v="50% sustainable cotton "/>
        <s v="Reach 6% of sustainable garments"/>
        <s v="100% recycled polyester"/>
        <s v="100% of the cellulose fibres used will be of controlled and traceable origin by 2025. "/>
        <s v="In 2030, all fibers will come from preferred sources"/>
        <s v="By 2030, we will have reduced our scope 1 and 2 greenhouse gas emissions by 80% and our scope 3 emissions by 35%."/>
        <s v="Target for reducing total water consumption by 2030 (vs 2019)"/>
        <s v="Scope 1 and 2 - Reduce absolute scope 1 and 2 GHG emissions 70%, by 2030 from a 2019 base year"/>
        <s v="Scope 3 - Reduce absolute scope 3 GHG emissions 14%, by 2030 from a 2019 base year"/>
        <s v="100% carbon neutral at own sites worldwide"/>
        <s v="At least 50% of electricity consumption from renewable sources at own sites worldwide"/>
        <s v="100% renewable energy at own sites worldwide"/>
        <s v="65% low environmental impact vehicles in company car fleet worldwide"/>
        <s v="50% sustainable nylon used (2019 base year)"/>
        <s v="DIST-certified down recycling"/>
        <s v="Nylon fabric scraps recycled"/>
        <s v="Extra Life repair service developed worldwide"/>
        <s v="Take Me Back project implemented worldwide"/>
        <s v="100% sustainable packaging for end clients"/>
        <s v="Zero single-use conventional plastics"/>
        <s v="100% sustainable packaging in logistics services"/>
        <s v="100% of down suppliers also compliant with new human rights and environment modules included in the DIST Protocol"/>
        <s v="100% of key raw materials traced"/>
        <s v="100% of key raw materials in line with the Responsible Raw Materials Manual"/>
        <s v="90% low environmental impact vehicles in company car fleet worldwide"/>
        <s v="Fur free Moncler collections"/>
        <s v="100% merino wool used in the 2025 collections will be certified mulesing free"/>
        <s v="100% sustainable packaging for Stone Island end clients"/>
        <s v="Scope 3 - Reduce per unit sold GHG emissions 52%, by 2030 from a 2021 base year"/>
        <s v="Scope 1 and 2 - Reduce absolute scope 1 and 2 GHG emissions 70%, by 2030 from a 2021 base year"/>
        <s v="Net zero - Reduce scope 1, 2 and 3 GHG emissions by 90% and neutralise all residual emissions with carbon removals"/>
        <s v="50% lower impact cotton"/>
        <s v="50% of yarns and fabrics will be from lower impact materials"/>
        <s v="70% wool certified Responsible Wool Standard (RWS)"/>
        <s v="To use organic or recycled fibres, or those from crops of the Better Cotton Initiative, for 100% of our cotton products by 2020"/>
        <s v="In 2017, we will power our head office and [Italian] stores with 100% renewable energy."/>
        <s v="By 2020, all our product reports will include circular design principles. [Entro il 2020, tutti i nostri brief di prodotto includeranno principi circolari di design.]"/>
        <s v="By 2020, all our garments will be measured with a circularity score. [Entro il 2020, tutti i nostri capi di abbigliamento saranno misurati con un punteggio di circolarità.]"/>
        <s v="By 2020, all our stores in Europe will have an active used clothing collection system [Entro il 2020 tutti i nostri negozi in Europa avranno un sistema di raccolta dei capi usati attivo]"/>
        <s v="we will collect 1000 tonnes of clothing per year [raccoglieremo 1000 tonnellate di capi all’anno]"/>
        <s v="By 2020, we will have established a partnership with a partner specialising in fabric recycling and/or a philanthropic institution to manage all clothing collected by the OVS SpA group brands [Entro il 2020 avremo attivato una collaborazione con un partne"/>
        <s v="By 2020, we will have produced 3 million garments using fibres from fabrics collected from consumers. [Entro il 2020, avremo prodotto 3 milioni di capi con fibre da tessuti raccolti dai consumatori.]"/>
        <s v="By 2020, we will have launched at least two initiatives to promote and research the recycling of cotton and polyester textile fibres [Entro il 2020, avremo attivato almeno due iniziative di promozione e ricerca sul riciclo di fibre tessili su cotone e pol"/>
        <s v="replacement of 100% of plastic display packaging with cardboard or recycled plastic supports"/>
        <s v="In 2021 we will reach 100% [certified organic cotton or Better Cotton Initiative]"/>
        <s v="100% of our stores will receive a sustainability index rating by 2021"/>
        <s v="80% of OVS’s 2020 production volume comes from suppliers engaged in improvement programs through the Higg platform. In 2022 we will reach 100%"/>
        <s v="By 2025, more than 90% of our selection array will be made with material from certified low impact supply chains, today it is over 65%"/>
        <s v="by 2025, we will reach 100% [denim produced with Waterless method],saving over 1 billion litres of water"/>
        <s v="30% reduction in [stores] emissions by 2030"/>
        <s v="Scope 3 emissions reduction target of 21% by 2024"/>
        <s v="By 2025, more than 90% of our products will have at least one of the following characteristics: composition with certified low-impact raw materials (such as organic cotton or recycled polyester); production with reduced water or chemical consumption treat"/>
        <s v="aim to test 100% of the wastewater from our suppliers’ facilities against potentially toxic substances by 2025"/>
        <s v="Our goal is to replace 100% of polyester and polyamide with recycled materials or biodegradable alternatives by 2030"/>
        <s v="Our goal is the ultimate elimination of potentially hazardous chemicals throughout the supply chain, not just in the finished product, by 2030."/>
        <s v="46.2% emissions reduction by 2030. Based Targets Initiative. Reduced emissions refer to Scope 1&amp;2 and Scope 3 limited to the “Purchased Goods and Services” and “Transportation and Upstream Distribution” categories, taking 2019 as the base year for the inv"/>
        <s v="increased use of low-emission materials by up to 90% by 2030"/>
        <s v="support of the supply chain in decarbonisation programmes to reach a target of 100% renewable electricity by 2040"/>
        <s v="complete elimination of the use of coal-fired boilers, which currently account for 1.2% of our supply chain emissions) by 2030"/>
        <s v="19,2% reduction in Scope 3 carbon intensity relative to consolidated revenues by 2026 (Scope 3)"/>
        <s v="65% of materials with reduced impact and traceable by 2026 (Scope 3)"/>
        <s v="80% of the production volume covered by suppliers with a decarbonisation programme by 2026 (Scope 3)"/>
        <s v="100% renewable electricity by 2030 (Scope 2)"/>
        <s v="40% of electricity requirements covered by photovoltaic systems by 2028 (Scope 2)"/>
        <s v="Fashion Pact's B2C target: eliminate unnecessary and problematic plastics "/>
        <s v="Fashion Pact's B2B target: eliminate unnecessary and problematic plastics "/>
        <s v="Company car fleet: 60% green by 2022 (Scope 1)"/>
        <s v="Scope 1 and 2 - Reduce absolute Scope 1 and Scope 2 GHG emissions by 29.4%, by 2026 from a 2019 base year"/>
        <s v="-60% natural gas consumption in industrial facilities (m3) (Scope 1)"/>
        <s v="Scope 3 - Reduce absolute Scope 3 Greenhouse Gas emissions by 42%, by 2029 from a 2019 base year."/>
        <s v="double the self-produced energy from owned photovoltaic systems by 2026 from the 2019 base year"/>
        <s v="Company car fleet: 70% green by 2023 (Scope 1)"/>
        <s v="urban reforestation project that aims to plant 3 milliontrees in and around Milan by 2030"/>
        <s v="Company car fleet: 95% green by 2022 (Scope 1)"/>
        <s v="Leather Purchased LWG certified/audited tanneries; ICEC certified"/>
        <s v="Nylon and Polyester: Recycled; Bio-based"/>
        <s v="Cotton: Recycled (GRS); Organic agriculture; (GOTS, OCS 100); From regenerative agriculture; BCI"/>
        <s v="Viscose: FSC; Recycled"/>
        <s v="Plastic on total packaging &lt;10%"/>
        <s v="Recycled content in plastic packaging"/>
        <s v="Fashion Pact's B2C target: half of all plastic packaging contains 100% recycled content"/>
        <s v="Fashion Pact's B2B target: half of all plastic packaging contains 100% recycled content"/>
        <s v="Recycled and/or certified paper and cardboard"/>
        <s v="full compliance with the ZDHC MRSL for its key suppliers by the end of 2026"/>
        <s v="&gt;75% waste diverted from disposal"/>
        <s v="&gt;95% Textile fiber waste sent to recycling"/>
        <s v="90% electricity purchased from the grid covered by GOs and I-REC"/>
        <s v="cover 20% of Group industrial electricity consumption with its own photovoltaic plants by 2026"/>
        <s v="all key materials are 100% traceable by 2026 at least to slaughterhouse or killing facility"/>
        <s v="phase out of the use of 11 priority chemicla groups from the supply chain by 2020"/>
        <s v="Ensure only PFC-free formulations are used within our production"/>
        <s v="Strengthen our supplier contract language to ensure only APEO and phthalate-free formulations are used within our production"/>
        <s v="15% reduction in carbon footprint of clothing placed on market in UK by SCAP retailers and brands measured per tonne of garment sales"/>
        <s v="15% reduction in water footprint of clothing placed on market in UK measured per tonne of garment sales"/>
        <s v="3.5% reduction in waste arising over the product life cycle"/>
        <s v="15% reduction in clothing waste going to landfill and incineration (energy from waste) in the UK."/>
        <s v="Global in-store product take-back scheme"/>
        <s v="achieve ISO 50001 energy management accreditation for all stores, offices and distrubtion centres including in emerging European markets and US"/>
        <s v="achieve ISO 50001 energy management accreditation for for all stores, offices and distrubtion centres throughout Europe"/>
        <s v="train 160,000 farmers through sustainable cotton programme by 2022"/>
        <s v="30% aggregate GHG emission reductions in scope 1, 2 and 3 of the GHG Protocol Corporate Standard by 2030 against a baseline of no earlier than 2015"/>
        <s v="our clothes will be recyclable by design by 2027"/>
        <s v="all our clothes will be made from recycled or more sustainably sourced materials by 2030"/>
        <s v="we will halve carbon emissions across our value chain by 2030"/>
        <s v="We will eliminate all single-use plastic from our business.&quot; Updated in 2022 to: we will eliminate single-use plastics and all our non-clothing waste by 2027."/>
        <s v="expand Sustainable Cotton Programme to 275,000 farmers by 2023"/>
        <s v="Massive reduction of PVC application by spring/summer 2003 with the aim of a complete PVC ban"/>
        <s v="50% more sustainable products"/>
        <s v="100% more sustainable packaging"/>
        <s v="25% reduction of CO2 in PUMA offices, stores, warehouses and direct supplier factories"/>
        <s v="25% reduction of waste in PUMA offices, stores, warehouses and direct supplier factories"/>
        <s v="25% reduction of energy in PUMA offices, stores, warehouses and direct supplier factories"/>
        <s v="25% reduction of water in PUMA offices, stores, warehouses and direct supplier factories"/>
        <s v="Paperless office policy aiming for a 75% reduction in paper usage, with an offsetting initiative compensating for the remaining paper usage, for example tree planting initiatives"/>
        <s v="by 2017 plans to phase out the entire use of PFCs."/>
        <s v="Zero Discharge of Hazardous Chemicals from our Supply Chain by 2020"/>
        <s v="Industry Good Practice for consumption and effluent treatment) is met by 90% of PUMA key suppliers with wet processing facilities"/>
        <s v="we have decided to set an interim reduction target of 3% (in line with the corresponding science-based target option) for direct CO2 emissions, indirect emissions from electricity and district heating as well as indirect emissions from manufacturing and t"/>
        <s v="Reduce the percentage of RSL (Restricted Substances List tests) failures to below 3%"/>
        <s v="Industry best practice for air pollution is met by 90% of PUMA core suppliers."/>
        <s v="In the interim, PUMA established an internal target of 3% reduction relative to sales."/>
        <s v="Move 100% of PUMA’s own entities to renewable electricity"/>
        <s v="Expand the use of renewable energy at PUMA’s core suppliers to 25%"/>
        <s v="100% of all PUMA products are safe to use"/>
        <s v="Reduce RSL failures to below 1%"/>
        <s v="Reduce organic solvent usage under 10 gr/pair"/>
        <s v="Reduce water consumption at PUMA core suppliers per pair or piece by 15% (based on 2020 baseline)"/>
        <s v="Eliminate plastic bags from PUMA stores and review the impact of hangers and fixtures"/>
        <s v="Set up or join product takeback schemes in major markets"/>
        <s v="Reduce production waste to landfills by at least 50% (shared target)"/>
        <s v="Develop recycled materials as alternatives to leather, rubber, cotton, and polyurethane (shared targets)"/>
        <s v="90% of PUMA apparel and accessories products contain &gt;50% more sustainable materials"/>
        <s v="90% of our footwear contains at least one more sustainable component"/>
        <s v="Increase use of recycled polyester (apparel and accessories) to 75% by 2025 (shared target)"/>
        <s v="100% of cotton, leather, and down procured from certified sources (shared target)"/>
        <s v="Reduce greenhouse gas emissions from PUMA’s own entities (Scope 1 and 2) by 35% compared to the 2017 baseline (absolute reduction)"/>
        <s v="Reduce emissions from PUMA’s supply chain (Scope 3: purchased goods and services) by 60% relative to sales"/>
        <s v="reduce by 42% absolute GHG emissions from Scope 1 and Scope 2 by 2029 compared to 2019"/>
        <s v="reduce by 42% absolute GHG emissions from Scope 3 deriving from the purchase of goods and services and from the downstream transport and distribution by 2029 compared to 2019"/>
        <s v="2025: 25% of low environmental impact key raw materials"/>
        <s v="2030: 100% renewable energy across all operations"/>
        <s v="Elimination of problematic and unnecessary plastics in B2B [packaging] by 2030"/>
        <s v="Ensure that at least half of all plastic packaging is made from 100% recycled material by 2025 for B2C"/>
        <s v="Ensure that at least half of all plastic packaging is made from 100% recycled material by 2030 for B2B"/>
        <s v="Achieving Net Zero by 2050"/>
        <s v="install building management systems in 100 stores worldwide by 2025"/>
        <s v="Elimination of single-use virgin plastic from packaging"/>
        <s v="100% paper packaging FSC/PEFC certified"/>
        <s v="reduce energy use in offices by 25% compared to 2005/2006"/>
        <s v="reduce water use in offices by 25% compared to 2005/2006"/>
        <s v="reduce waste production in offices by 25% compared to 2005/2006"/>
        <s v="More sustainable alternatives used for our key materials cotton"/>
        <s v="More sustainable alternatives used for our key materials leather"/>
        <s v="More sustainable alternatives used for our key materials polyester"/>
        <s v="More sustainable alternatives used for our key materials paper"/>
        <s v="More sustainable alternatives used for our key materials down"/>
        <s v="Cotton: Organic agriculture (GOTS, OCS 100)"/>
        <s v="Recycle 100% of the Group’s scraps from French textile manufacturers by 2025"/>
        <s v="Industry good practice for effluent treatment is met by 90% of core PUMA suppliers with wet-processing facilities "/>
        <s v="Industry good practice for air emissions is met by 90% of core PUMA suppliers with significant emissions"/>
      </sharedItems>
    </cacheField>
    <cacheField name="goal value">
      <sharedItems containsDate="1" containsBlank="1" containsMixedTypes="1">
        <n v="50.0"/>
        <n v="0.0"/>
        <s v="close to 25"/>
        <n v="20.0"/>
        <n v="0.4"/>
        <n v="-0.2"/>
        <n v="-0.3"/>
        <n v="-0.25"/>
        <n v="-0.5"/>
        <n v="570.0"/>
        <n v="0.1"/>
        <n v="1.0"/>
        <n v="-0.35"/>
        <n v="-0.75"/>
        <n v="-0.03"/>
        <m/>
        <n v="-0.15"/>
        <n v="-0.19"/>
        <n v="5.8695"/>
        <n v="0.9"/>
        <n v="0.8"/>
        <n v="-0.4"/>
        <n v="0.98"/>
        <n v="49244.700000000004"/>
        <n v="3815396.6000000006"/>
        <n v="674241.8999999999"/>
        <n v="0.85"/>
        <n v="0.75"/>
        <n v="0.05"/>
        <n v="100.0"/>
        <n v="1000000.0"/>
        <n v="1500000.0"/>
        <n v="-0.1"/>
        <n v="250.0"/>
        <n v="1700000.0"/>
        <n v="0.3"/>
        <n v="3.21"/>
        <n v="-0.05"/>
        <n v="0.5"/>
        <n v="0.2"/>
        <n v="0.25"/>
        <n v="0.15"/>
        <s v="2 million"/>
        <n v="500000.0"/>
        <s v="7 million"/>
        <s v="100–120"/>
        <n v="0.95"/>
        <n v="1.2"/>
        <n v="0.91"/>
        <n v="60.0"/>
        <n v="25000.0"/>
        <n v="-0.36"/>
        <n v="-0.59"/>
        <n v="-0.56"/>
        <n v="-0.42"/>
        <n v="0.97"/>
        <n v="0.42"/>
        <s v="30.3%"/>
        <n v="0.72"/>
        <n v="140.0"/>
        <n v="95.0"/>
        <s v="-50.4%"/>
        <n v="-0.9"/>
        <s v="-36.4%"/>
        <n v="0.07"/>
        <n v="0.03"/>
        <s v="50.4%"/>
        <s v="58.1%"/>
        <s v="5% per year"/>
        <n v="54.0"/>
        <n v="3.0"/>
        <n v="2.0"/>
        <s v="/"/>
        <d v="2025-05-03T00:00:00Z"/>
        <n v="-0.8"/>
        <n v="0.7"/>
        <s v="unclear"/>
        <n v="-0.53"/>
        <n v="5.0"/>
        <n v="-0.6"/>
        <n v="0.57"/>
        <n v="0.28"/>
        <s v="at least 90%"/>
        <n v="30.0"/>
        <s v="5 million hectares"/>
        <n v="0.55"/>
        <n v="0.06"/>
        <s v="-80%/-35%"/>
        <n v="2813.71"/>
        <n v="120400.0"/>
        <n v="0.65"/>
        <n v="3918.03"/>
        <n v="21374.8"/>
        <n v="1000.0"/>
        <n v="3000000.0"/>
        <n v="-0.21"/>
        <n v="-0.46"/>
        <n v="-0.192"/>
        <n v="0.6"/>
        <n v="33270.96"/>
        <n v="638828.0"/>
        <n v="242873.84"/>
        <n v="4028414.0"/>
        <s v="3 million"/>
        <n v="-25.0"/>
        <n v="-75.0"/>
        <n v="15.0"/>
        <n v="3604.875"/>
        <n v="8.55"/>
        <n v="0.34875"/>
        <n v="90.0"/>
      </sharedItems>
    </cacheField>
    <cacheField name="goal unit" numFmtId="0">
      <sharedItems containsBlank="1">
        <s v="grams VOCs per pair"/>
        <s v="PVC in accessories and gear products"/>
        <s v="PVC in products"/>
        <s v="grams/pair"/>
        <m/>
        <s v="&quot;Better Cotton&quot; in all cotton"/>
        <s v="MWh/m²"/>
        <s v="t/m²"/>
        <s v="m³/person"/>
        <s v="t/person"/>
        <s v="kg CO2 per employee"/>
        <s v="carbon emissions caused by the company car fleet"/>
        <s v="energy emissions by product output"/>
        <s v="footwear with &quot;more sustainable content"/>
        <s v="share of cotton that is more sustainable cotton"/>
        <s v="single use plastic at adidas showrooms, retail stores, distribution centres and offices"/>
        <s v="water savings compared to 2014"/>
        <s v="water savings compared to 2015"/>
        <s v="water savings compared to 2008"/>
        <s v="waste reduction compared to 2014"/>
        <s v="less landfill waste compared to 2015"/>
        <s v="paper reduction compared to 2008"/>
        <s v="energy savings compared to 2014"/>
        <s v="emissions reduction annual compared to 2015"/>
        <s v="share of wool that is certified by Textile Exchange’s Responsible ool Standard (‘RWS’)"/>
        <s v="share of our polyester to be recycled polyester"/>
        <s v="m3/m2"/>
        <s v="diversion rate"/>
        <s v="reduction GHG emissions per product"/>
        <s v="kg CO2e per product"/>
        <s v="share of facilities"/>
        <s v="share of chemical formulations"/>
        <s v="reduction in water consumption"/>
        <s v="share of waste from Tier 1 and Tier 2 suppliers diverted from landfills by 2025"/>
        <s v="sustainable article share"/>
        <s v="tons CO2e"/>
        <s v="share of polyester to come from recycled textile waste"/>
        <s v="organic cotton in baby and children’s’ garments"/>
        <s v="tonnes of organic cotton in all products"/>
        <s v="tonnes of organic cotton in products with mixed cotton (organic and non-organic)"/>
        <s v="baby garments with the Flower, the EU’s eco-label"/>
        <s v="tonnes of transitional cotton "/>
        <s v="reduction of relative emissions (kg CO2 per 1,000 SEK turnover) between 2004 and 2009"/>
        <s v="garments with the Flower, the EU’s eco-label"/>
        <s v="factories enrolled in an energy efficiency program"/>
        <s v="tonnes of CO2-e for every million SEK of turnover"/>
        <s v="annual reduction of relative emissions (kg CO2 per 1,000 SEK turnover)"/>
        <s v="annual increase organic cotton use"/>
        <s v="energy consumption per square metre of commercial premises compared to 2007"/>
        <s v="renewable energy share"/>
        <s v="share of cotton that is from sustainable sources"/>
        <s v="raw materials that meet sustainability criteria"/>
        <s v="renewable energy used in Italian offices and stores"/>
        <s v="single-use plastic in B2C packaging"/>
        <s v="% reduction in production water use (water intensive tier 1 and 2 suppliers) from 2017 baseline"/>
        <s v="% of water recycled out of total production water consumption"/>
        <s v="single-use plastic in B2B packaging"/>
        <s v="VOC-free pairs of shoes"/>
        <s v="pairs of leather shoes with leather from certified tanneries"/>
        <s v="share of organic cotton in baby garments with Flower label"/>
        <s v="pairs of shoes made with water-based adhesives instead of VOCs"/>
        <s v="factories covered by Supplier Energy Efficiency Programmes"/>
        <s v="million litres of water saved in denim production"/>
        <s v="waste handled in our distribution centers to be recycled"/>
        <s v="shoes with water-based adhesives"/>
        <s v="% of facilities in own operations with water-efficient equipment"/>
        <s v="Responsible Wool Standard (RWS) certified wool in our products"/>
        <s v="% of polyester from recycled sources"/>
        <s v="% OF SUPPLIER FACTORIES IN FULL COMPLIANCE WITH WASTEWATER QUALITY REQUIREMENTS (BSR)"/>
        <s v="certified wool"/>
        <s v="certified down according to RDS"/>
        <s v="million pieces with at least 20% recycled materials"/>
        <s v="absolute transport-related emissions"/>
        <s v="million PET bottles worth of recycled polyester used"/>
        <s v="circular store concepts"/>
        <s v="recycled or other sustainably sourced materials in H&amp;M brand."/>
        <s v="tonnes of collected garments annually"/>
        <s v="energy use compared to 2016"/>
        <s v="greenhouse gases reduction per product"/>
        <s v="factories enrolled in an energy efficiency "/>
        <s v="% of electricity from power purchase agreements (PPAs) with new renewable electricity generation"/>
        <s v="reduction scope 1+2 GHG emissions"/>
        <s v="reduction scope 3 GHG emissions"/>
        <s v="renewable electricity"/>
        <s v="% change in absolute total freshwater use (2022 baseline)8"/>
        <s v="recycled plastic used in packaging"/>
        <s v="Scope1 emissions"/>
        <s v="renewable energy used in European offices and stores"/>
        <s v="FSC/PFSC certified paper in B2C uses"/>
        <s v="FSC/PFSC certified paper in B2B uses"/>
        <s v="recycled plastic used in B2C packaging"/>
        <s v="recycled plastic used in B2B packaging"/>
        <s v="emissions (Scope 1 and 2)"/>
        <s v="emissions (Scope 3)"/>
        <s v="traceable raw materials"/>
        <s v="renewable energy in all sites and stores"/>
        <s v="% reduction per unit sold"/>
        <s v="%"/>
        <s v="hectares of woodland protected"/>
        <s v="new products destroyed"/>
        <s v="unit"/>
        <s v="/"/>
        <s v="logistic related emissions"/>
        <s v="shops"/>
        <s v="garments"/>
        <s v="M$"/>
        <s v="energy consumption"/>
        <s v="&quot;carbon, waste and water savings&quot;"/>
        <s v="products sourced from factorys in FIP (Factory Improvement Program) of private labels"/>
        <s v="CO2 emissions per order"/>
        <s v="share of packaging sustainably sourced"/>
        <s v="of Gross Merchandise Volume with more sustainable products"/>
        <s v="share of Better Cotton in all cotton"/>
        <s v="reduction in emissions from our own operations"/>
        <s v="share of renewable electricity"/>
        <s v="reduction in Scope 3 GHG emissions per million euros gross profit"/>
        <s v="of suppliers with SBTs"/>
        <s v="of our private label products to fulfill our sustainability criteria and carry the sustainability flag"/>
        <s v="million fashion products' lives extended"/>
        <s v="more sustainable man-made cellulosics"/>
        <s v="more sustainable cotton"/>
        <s v="more sustainable leather"/>
        <s v="responsible animal fibers"/>
        <s v="recycled polyester"/>
        <s v="PCR in polybags"/>
        <s v="private labels products with at least one sustainability attribute"/>
        <s v="virgin polyester in private labels"/>
        <s v="single-use plastic for clients"/>
        <s v="in Landfill"/>
        <s v="cotton and artificial cellulose fibres from sustainable sources"/>
        <s v="sustainable fibers"/>
        <s v="emissions"/>
        <s v="lower impact materials"/>
        <s v="million ha"/>
        <s v="% waste reduction per finished product produced"/>
        <s v="% reduction in water consumption perfinished product"/>
        <s v="million hectares "/>
        <s v="sustainable cotton"/>
        <s v="sustainable garments"/>
        <s v="fibers from &quot;Preferred sources&quot;"/>
        <s v="organic or recycled or Better Cotton Initiative fibers"/>
        <s v="renewable energy used in HQ and stores"/>
        <s v="product reports including circular design principles"/>
        <s v="garments assessed by circularity score"/>
        <s v="European stores with used clothing collection service"/>
        <s v="tons/year used clothing collected"/>
        <s v="garments from used/collected clothes"/>
        <s v="initiatives to promote recycling fibers"/>
        <s v="display packaging in cardboard or recycled plastc"/>
        <s v="certified organic or BCI cotton (or recycled)"/>
        <s v="stores with sustainability index rating"/>
        <s v="production volume from suppliers engaged in improvement programs through the Higg platform"/>
        <s v="clothes made with materials from low impact supply chains"/>
        <s v="denim produced with Waterless method"/>
        <s v="store emissions"/>
        <s v="Scope 3 emissions"/>
        <s v="Percentage of materials from certified low impact supply chains"/>
        <s v="facilities tested"/>
        <s v="polyester and polyamide replaced with recycled or biodegradable alternatives "/>
        <s v="hazardous chemicals use across the supply chain"/>
        <s v="low-emission materials"/>
        <s v="renewable energy use across the supply chain"/>
        <s v="coal-fired boilers used in supply chain"/>
        <s v="Scope 3 carbon intensity"/>
        <s v="low impact and traceable materials"/>
        <s v="production volume covered by suppliers in decarbonisation programmes"/>
        <s v="renewable energy "/>
        <s v="energy requirements covered by solar power"/>
        <s v="% of green vehicles"/>
        <s v="m3"/>
        <s v="kWh"/>
        <s v="trees"/>
        <s v="% reduction in kwh / employee"/>
        <s v="% reduction in paper usage"/>
        <s v="% reduction in tons CO2 per € million turnover per year"/>
        <s v="Scope 1 and 2 emissions"/>
        <s v="raw materials with low environmental impact"/>
        <s v="renewable energy used"/>
        <s v="unnecessary plastics in B2C packaging"/>
        <s v="unnecessary plastics in B2B packaging"/>
        <s v="recycled plastic in B2C packaging"/>
        <s v="recycled plastic in B2B packaging"/>
        <s v="energy efficient stores"/>
        <s v="single-use virgin plastic in packaging"/>
        <s v="certified paper packaging"/>
        <s v="kwh / employee"/>
        <s v="m³ / employee"/>
        <s v="t / employee"/>
        <s v="BCI certified cotton"/>
        <s v="LWG certified leather"/>
        <s v="Bluesign certified polyester"/>
        <s v="FSC certified paper / cardboard"/>
        <s v="Responsible Down (RDS)"/>
      </sharedItems>
    </cacheField>
    <cacheField name="report year" numFmtId="0">
      <sharedItems containsSemiMixedTypes="0" containsString="0" containsNumber="1" containsInteger="1">
        <n v="2000.0"/>
        <n v="2001.0"/>
        <n v="2003.0"/>
        <n v="2010.0"/>
        <n v="2011.0"/>
        <n v="2016.0"/>
        <n v="2017.0"/>
        <n v="2023.0"/>
        <n v="2024.0"/>
        <n v="2021.0"/>
        <n v="2002.0"/>
        <n v="2004.0"/>
        <n v="2006.0"/>
        <n v="2008.0"/>
        <n v="2007.0"/>
        <n v="2018.0"/>
        <n v="2009.0"/>
        <n v="2019.0"/>
        <n v="2020.0"/>
        <n v="2012.0"/>
        <n v="2013.0"/>
        <n v="2022.0"/>
        <n v="2014.0"/>
        <n v="2015.0"/>
        <n v="2025.0"/>
        <n v="2026.0"/>
        <n v="2027.0"/>
        <n v="2037.0"/>
        <n v="2033.0"/>
        <n v="2034.0"/>
        <n v="2029.0"/>
        <n v="2030.0"/>
        <n v="2031.0"/>
        <n v="2032.0"/>
        <n v="2028.0"/>
        <n v="2038.0"/>
        <n v="2039.0"/>
        <n v="2035.0"/>
        <n v="2036.0"/>
      </sharedItems>
    </cacheField>
    <cacheField name="goal source" numFmtId="0">
      <sharedItems containsBlank="1">
        <s v="Sustainability Report 2000"/>
        <s v="Social and Environmental Report 2001"/>
        <s v="Social and Environmental Report 2000"/>
        <s v="Social and Environmental Report 2003"/>
        <s v="https://web.archive.org/web/20101201014824/http://www.adidas-group.com/en/sustainability/Environment/green_company/default.aspx"/>
        <s v="Sustainability Report 2010"/>
        <s v="Green Company Report 2011"/>
        <s v="Sustainability Report 2011"/>
        <s v="Sustainability Report 2016"/>
        <s v="Green Company Report 2017"/>
        <s v="Annual Report 2023"/>
        <s v="Group Management Report – Sustainability Statement 2024, table esrs-e1-4-targets-climate-chg"/>
        <s v="Annual Report 2021"/>
        <s v="SER 2002"/>
        <s v="SER 2003"/>
        <s v="SER 2004"/>
        <s v="SER 2006"/>
        <s v="SER 2008"/>
        <s v="SER 2007"/>
        <s v="SER 2018"/>
        <s v="SER 2009"/>
        <s v="SER 2010"/>
        <s v="Sustainability-Report-2019-Armani-Group-EN"/>
        <s v="SER 2020"/>
        <s v="SER 2019"/>
        <s v="SER 2011"/>
        <s v="SER 2012"/>
        <s v="SER 2013"/>
        <s v="SER 2022"/>
        <s v="SER 2023"/>
        <s v="SER 2014"/>
        <s v="Sustainability progress report 2024"/>
        <s v="SER 2016"/>
        <s v="Sustainability Disclosure 2023"/>
        <s v="Sustainability Disclosure 2021"/>
        <s v="Sustainability Disclosure 2022"/>
        <s v="Sustainability-Report-2020-Armani-Group-EN"/>
        <s v="Sustainability-Report-2021-Armani-Group-EN-1"/>
        <s v="2022_Sustainability-Report_Armani-Group"/>
        <s v="Chanel Mission 1.5°C"/>
        <s v="Sustainability performance extract 2023"/>
        <s v="sustainability report 2020"/>
        <s v="SUSTAINABILITY REPORT 2021"/>
        <s v="SUSTAINABILITY REPORT 2022"/>
        <s v="SUSTAINABILITY REPORT 2024"/>
        <s v="2020 Universal registration document"/>
        <s v="2021 Universal registration document"/>
        <s v="2023 Universal registration document"/>
        <s v="2022 Universal registration document"/>
        <s v="2024 Universal registration document"/>
        <s v="Annual report 2013"/>
        <s v="Annual report 2012 (web)"/>
        <s v="Annual report 2014"/>
        <s v="Annual report 2017"/>
        <s v="Sustainability Progress Report 2020"/>
        <s v="Annual Report 2019"/>
        <s v="Sustainability Progress Report 2021"/>
        <s v="Sustainability Progress Report 2023"/>
        <s v="CSRD Digest 2024"/>
        <s v="Non-financial Information Statement 2021"/>
        <m/>
        <s v="New Sustainability Committments (2023)"/>
        <s v="New Sustainability Committments 2023"/>
        <s v="Annual report 2024"/>
        <s v="2009 sustainable development report"/>
        <s v="2013 sustainable development report"/>
        <s v="Sustainbility report 2020 L'Oréal for the future"/>
        <s v="Sustainability report 2024; environmental webpage 2024"/>
        <s v="Sustainability report 2024, environmental webpage 2024"/>
        <s v="environment webpage 2024"/>
        <s v="2016 Social and Environmental Responsibility Report - LVMH"/>
        <s v="2017 Social and Environmental Responsibility Report - LVMH"/>
        <s v="2018 Social and Environmental Responsibility Report - LVMH"/>
        <s v="2020 Social and Environmental Responsibility Report - LVMH"/>
        <s v="2023 social and environmental responsibility report "/>
        <s v="Sustainability report 2015"/>
        <s v="Sustainability report 2017"/>
        <s v="Sustaniability report 2022"/>
        <s v="Website 2025"/>
        <s v="2020 Consolidated non financial statement"/>
        <s v="2019 Consolidated non financial statement"/>
        <s v="2021 Consolidated non financial statement"/>
        <s v="2022 CONSOLIDATED NON-FINANCIAL STATEMENT | Moncler Group"/>
        <s v="OVS Bilancio annuale 2017"/>
        <s v="OVS Consolidated Non-financial Statement 2019"/>
        <s v="Sustainability Report 2023"/>
        <s v="OVS Annual Report 2024"/>
        <s v="2023 Sustainability Report"/>
        <s v="Prada Group's Sustainability Report 2024"/>
        <s v="2022 Prada Group's Sustainability Report"/>
        <s v="THE PRADA GROUP’S ANIMAL WELFARE POLICY"/>
        <s v="Detox commitment performance report 2015"/>
        <s v="Edie news report and Primark Environmental Sustainability Performance Report 2019"/>
        <s v="Primark Environmental Performance Report 2024"/>
        <s v="Primark Environmental Sustainability Performance Report 2019"/>
        <s v="Primark Environmental Sustainability Performance Report 2020"/>
        <s v="Primark Cares / Primark Sustainability and Ethics Report 2022 / Primark Circular Product Standard"/>
        <s v="Primark Cares / Primark Sustainability and Ethics Report 2021/22"/>
        <s v="Primark Cares / Primark Sustainability and Ethics Report 2022"/>
        <s v="Primark Environmental Sustainability Performance Report 2020;  Primark Sustainability and Ethics Report 2022"/>
        <s v="Primark Sustainability and Ethics Report 2022"/>
        <s v="Product-related Environmental &amp; Social Report 2000"/>
        <s v="Sustainability Report 2007/2008"/>
        <s v="Business and Sustainability Report 2014"/>
        <s v="Business and Sustainability Report 2015"/>
        <s v="Business and Sustainability Report 2016"/>
        <s v="Annual Report 2017 Sustainability"/>
        <s v="Business and Sustainability Report 2018"/>
        <s v="Business and Sustainability Report 2023"/>
        <s v="Business and Sustainability Report 2024"/>
        <s v="Business and Sustainability Report 2025"/>
        <s v="Business and Sustainability Report 2026"/>
        <s v="Business and Sustainability Report 2027"/>
        <s v="Business and Sustainability Report 2037"/>
        <s v="Business and Sustainability Report 2033"/>
        <s v="Business and Sustainability Report 2021"/>
        <s v="Business and Sustainability Report 2034"/>
        <s v="Business and Sustainability Report 2029"/>
        <s v="Business and Sustainability Report 2030"/>
        <s v="Business and Sustainability Report 2031"/>
        <s v="Business and Sustainability Report 2032"/>
        <s v="Business and Sustainability Report 2028"/>
        <s v="Business and Sustainability Report 2038"/>
        <s v="Business and Sustainability Report 2039"/>
        <s v="Annual report Ferragamo 2020"/>
        <s v="Annual report Ferragamo 2023"/>
        <s v="Annual report Ferragamo 2024"/>
        <s v="SRI 2016"/>
        <s v="SRI 2018"/>
        <s v="Business and Sustainability Report 2035"/>
        <s v="Business and Sustainability Report 2036"/>
      </sharedItems>
    </cacheField>
    <cacheField name="goal Notes" numFmtId="0">
      <sharedItems containsBlank="1">
        <s v="p.49"/>
        <s v="p.42"/>
        <s v="p. 36"/>
        <s v="p.43. &quot;We remain committed to achieving our goal of 20 grams/pair&quot; --&gt; 2004 does not contain clear figure"/>
        <s v="SER 2010 no mention of this"/>
        <s v="p 23"/>
        <s v="for Administration offices, own production sites and distribution centers (=not independent factories, which is most of manufacturing)"/>
        <s v="p 12"/>
        <s v="p 22"/>
        <s v="p.6"/>
        <s v="p 18"/>
        <s v="p.6. tightened achieved (?) target from 2015"/>
        <s v="p.6, tightened failed 2015 target"/>
        <s v="p 95"/>
        <s v="p.222"/>
        <s v="p 114"/>
        <m/>
        <s v="p.196, upgraded from 80% in 2021"/>
        <s v="&quot;According to the SBTi guidelines, re-baselining is necessary when significant changes occur that could impact the relevance and consistency of existing targets. The divestiture of the Reebok business, formally completed as of February 28, 2022, represent"/>
        <s v="p.220"/>
        <s v="p.222, 233"/>
        <s v="&quot;In line with the SBTi criteria, we aim to achieve net-zero by cutting all our possible GHG emissions (by more than 90% against the baseline year 2022) through direct GHG emission reduction actions and neutralizing the residual GHG emissions through perma"/>
        <s v="p. 34. All shops opening after October 1, 2002, will get PVC-free flooring everywhere. Existing PVC-flooring will be replaced when worn-out or when the shop is rebuilt."/>
        <s v="p. 34"/>
        <s v="p. 33"/>
        <s v="p. 34. lowering of older target"/>
        <s v="p. 34, 24"/>
        <s v="p. 54"/>
        <s v="p. 14"/>
        <s v="p.16"/>
        <s v="p. 32"/>
        <s v="p. 23"/>
        <s v="p. 54. very early for an emissions target"/>
        <s v="p. 41"/>
        <s v="p. 56"/>
        <s v="p 49"/>
        <s v="p 71"/>
        <s v="p 42, 47"/>
        <s v="p 34"/>
        <s v="p. 35"/>
        <s v="p 33"/>
        <s v="p 22 (42-43 on page)"/>
        <s v="p 53"/>
        <s v="p 26. was already 13% in 2019"/>
        <s v="p 25. adidas was working on this back in 2003"/>
        <s v="p 26"/>
        <s v="p 24"/>
        <s v="p 25"/>
        <s v="p 62"/>
        <s v="p 76"/>
        <s v="p 60. &quot;We want to achieve this reductions without offsetting any emissions&quot;"/>
        <s v="p 66. was already at 92% in 2012"/>
        <s v="p 17, left as unclear since company has not verified when this target was reached"/>
        <s v="p 64, extension on 2013 target"/>
        <s v="p 70"/>
        <s v="p 46, postponed again from 2022"/>
        <s v="p 38"/>
        <s v="p 72"/>
        <s v="p 21. 2016: postponed to 2022?"/>
        <s v="p 21"/>
        <s v="p 83"/>
        <s v="p 32"/>
        <s v="p 9"/>
        <s v="p 86"/>
        <s v="p 33, postponed from 2018"/>
        <s v="p 35"/>
        <s v="p 9, &quot;This is an updated target, since we reached our 2030 target in 2023 and we have increased the ambition in reducing electricity demand in our stores&quot;"/>
        <s v="p 19"/>
        <s v="p 30"/>
        <s v="p 15"/>
        <s v="p 20"/>
        <s v="p 14 (22-23 on page)"/>
        <s v="p 31 (59 on page)"/>
        <s v="p 28 (29 on page)"/>
        <s v="p4"/>
        <s v="p4. tightened: baseline changed in 2023 ; previous goal set in 2020 had a baseline in 2018"/>
        <s v="p.38"/>
        <s v="p.38, achieved early"/>
        <s v="p.44"/>
        <s v="p.45"/>
        <s v="p.19"/>
        <s v="p.39"/>
        <s v="p.17"/>
        <s v="p.91"/>
        <s v="p.106"/>
        <s v="p150"/>
        <s v="p59"/>
        <s v="p142"/>
        <s v="p16"/>
        <s v="p125"/>
        <s v="p114"/>
        <s v="p137"/>
        <s v="p121"/>
        <s v="p129"/>
        <s v="p64"/>
        <s v="p109"/>
        <s v="p61"/>
        <s v="p153"/>
        <s v="p131"/>
        <s v="p135"/>
        <s v="p113"/>
        <s v="&quot;In 2020 all garments will include the &quot;Green to Wear&quot; label, that means that for 2020 all shops will be eco-efficient&quot;"/>
        <s v="p 28"/>
        <s v="p 33, already achieved from 2018 onwards"/>
        <s v="p6, upgraded from 20% in 2019"/>
        <s v="p 29. Already at 41%"/>
        <s v="p 6"/>
        <s v="p 13"/>
        <s v="p 8"/>
        <s v="p 27"/>
        <s v="p21. Left unclear despite company response since no public source provided"/>
        <s v="p 29"/>
        <s v="p 3"/>
        <s v="p.183"/>
        <s v="p 262"/>
        <s v="p90"/>
        <s v="p194"/>
        <s v="p6"/>
        <s v="p6, only 10% on top of the 2015 target"/>
        <s v="p8"/>
        <s v="p181"/>
        <s v="p.26"/>
        <s v="p37"/>
        <s v="p.40, later upgraded to 100%"/>
        <s v="p.33"/>
        <s v="p.31, 39"/>
        <s v="p.37"/>
        <s v="p32"/>
        <s v="p127"/>
        <s v="p.41"/>
        <s v="p.50"/>
        <s v="p44"/>
        <s v="p64-65"/>
        <s v="p67"/>
        <s v="p66"/>
        <s v="p1"/>
        <s v="p. 85, Market-based goal value: 2232,03"/>
        <s v="p.85"/>
        <s v="p.35. lacking detail on what that means"/>
        <s v="p.35"/>
        <s v="p.35, Until 2022, the target refers to nylon used, while from 2023 onwards it refers to nylon used in the 2025 collections. Defined as ‘sustainable nylon’ until the 2021 report. The 2022 report refers to ‘lower impact nylon’. From the 2023 report onwards,"/>
        <s v="p.35, in 2022 project redefined including the Take Me Back initiative"/>
        <s v="p.139"/>
        <s v="p.53, In January 2022, Moncler committed to phase out the use of fur in all its collections starting from 2024. Stone Island, that has not used fur since 2018, has pledged not to use it also in the future."/>
        <s v="p.53"/>
        <s v="p.54"/>
        <s v="p.179"/>
        <s v="p.138"/>
        <s v="p.55"/>
        <s v="p 16 (29 on page)"/>
        <s v="p 44 (85 on page)"/>
        <s v="p 68"/>
        <s v="p 13 (24 on page)"/>
        <s v="p 47 (93 on page)"/>
        <s v="p 24 (48 on page)"/>
        <s v="p 12 (22 on page)"/>
        <s v="p 17 (32 on page)"/>
        <s v="p 45 (88 on page)"/>
        <s v="p 100"/>
        <s v="p 13 (20 on page)"/>
        <s v="p 18 (30 on page)"/>
        <s v="p 15 (24 on page)"/>
        <s v="p 7, 84"/>
        <s v="p 95 (186 on page)"/>
        <s v="p 94"/>
        <s v="p.74, As green vehicles are considered BEV (Battery Electric Vehicle), PHEV (Plug-in Hybrid Electric Vehicle), HEV (Hybrid Electric Vehicle), MEV (Micro-Electric Vehicle)."/>
        <s v="(p. 124) Scope 2 - Emissions related to purchased electricity are calculated using two different approaches: Market based (19668,45) or Location based (33270,96)."/>
        <s v="p70"/>
        <s v="p.71"/>
        <s v="pp.75-76"/>
        <s v="p. 67"/>
        <s v="p.114"/>
        <s v="p.78"/>
        <s v="p.99"/>
        <s v="p.98"/>
        <s v="p.100"/>
        <s v="p.95"/>
        <s v="p.109, (including energy recivery only in 2019)"/>
        <s v="p.110"/>
        <s v="p.75"/>
        <s v="p.76"/>
        <s v="p.3"/>
        <s v="Set in conjunction with Greenpeace as part of Detox initiative. Eleven chemical groups have been prioritised for phase out from supply chain:&#10;1. Alkylphenols&#10;2. Phthalates&#10;3. Brominated and chlorinated flame retardants&#10;4. Azo dyes&#10;5. Organotin compounds&#10;6"/>
        <s v="Set in conjunction with Greenpeace as part of Detox initiative"/>
        <s v="p. 43: &quot;We plan to expand the scheme to all stores across all markets by the end of 2025, in line with local regulations.&quot; Started as a pilot in 2016 with six stores, struggled in 2017 &quot;due to ongoing uncertainty around textile waste collection licenses&quot;."/>
        <s v="UN Fashion Charter initiative; towards it, Primark commissioned Carbon Trust to provide advice on measuring scope 3 emissions."/>
        <s v="Details of what this may mean on p21 of 2022 sustainability report"/>
        <s v="It is not clear whether this commits to 100% of the material being recycled/sustainable or just the garment containing some recycled polyester/sustainable cotton etc. It is also not clear that recycled polyester is necessarily good for the environment. De"/>
        <s v="appears to supersede UN Fashion Charter commitment. includes scope 1, 2 and 3 emissions"/>
        <s v="p32, Wasn't this a goal in 2008 already?"/>
        <s v="p31, unclear whether absolute or relative"/>
        <s v="p31, p53 states this is relative to FTE"/>
        <s v="p31"/>
        <s v="Part of the Zero Discharge of HC target"/>
        <s v="p13. &quot;(Best practice for air still to be defined)&quot;"/>
        <s v="p 153"/>
        <s v="p 145"/>
        <s v="p 119"/>
        <s v="p 162"/>
        <s v="p 120"/>
        <s v="p 179"/>
        <s v="p 88, absolute target around 3800 kw/employee"/>
        <s v="p 88, absolute target around 9.5 m3 /employee"/>
        <s v="p 88, absolute target around 0,39 t employee"/>
        <s v="p45"/>
        <s v="p73"/>
      </sharedItems>
    </cacheField>
    <cacheField name="baseline year">
      <sharedItems containsBlank="1" containsMixedTypes="1" containsNumber="1" containsInteger="1">
        <m/>
        <n v="1999.0"/>
        <n v="2014.0"/>
        <n v="2015.0"/>
        <n v="2008.0"/>
        <n v="2019.0"/>
        <n v="2017.0"/>
        <n v="2022.0"/>
        <n v="2007.0"/>
        <n v="2004.0"/>
        <n v="2009.0"/>
        <n v="2010.0"/>
        <n v="2011.0"/>
        <n v="2012.0"/>
        <n v="2013.0"/>
        <n v="2016.0"/>
        <n v="2018.0"/>
        <n v="2021.0"/>
        <n v="2020.0"/>
        <n v="2005.0"/>
        <n v="2023.0"/>
        <n v="2024.0"/>
        <s v="0 stores"/>
        <s v="&quot;no earlier than 2015&quot;"/>
        <s v="2018/2019 FY"/>
        <s v="21,797 tonnes single use plastic in 2022"/>
        <n v="2000.0"/>
        <s v="2005/2006"/>
      </sharedItems>
    </cacheField>
    <cacheField name="baseline description" numFmtId="0">
      <sharedItems containsBlank="1">
        <m/>
        <s v="Reducing VOCs in footwear factories in Asia"/>
        <s v="tonnes of CO2 emissions"/>
        <s v="tonnes of CO2-e for every million SEK of turnover"/>
        <s v="energy intensity"/>
        <s v="% of water recycled out of total production water consumption"/>
        <s v="use only certified down (specified 2016 p 33: Responsible Down Standard (RDS))"/>
        <s v="CO2e emissions in kilotonnes from transport and business travel***,****"/>
        <s v="Use recycled polyester equivalent to at least 60 million PET bottles"/>
        <s v="Scope 1 emissions"/>
        <s v="Scope 1 and 2 emissions"/>
        <s v="Scope 3 emissions"/>
        <s v="overall incidence for 2021"/>
        <s v="share of raw materials sourced from traceable origin and from lower-impact sources"/>
        <s v="Emissions scope 1 &amp; scope 2"/>
        <s v="Emissions scope 3 "/>
        <s v="Scope 1-3 emissions"/>
        <s v="Scope 1&amp;2"/>
        <s v="Reduce water consumption in 25%"/>
        <s v="Scope 1: 21,055 / Scope 2 :486,957 / Scope 3: 1,761,288 tCO₂e"/>
        <s v="4 million garments in 2017, 3% (doubling)"/>
        <s v="More sustainable cotton used in 2022"/>
        <s v="8% sustainable  cellulose fibers "/>
        <s v="Hybrid and electrical vehicles in company car fleet worldwide"/>
        <s v="Report 2021, (p.52) At least 80% of nylon scraps recycled**For Stone Island, the target refers to nylon production scraps recycled at own sites. "/>
        <s v="Replaced about 44% of single-use conventional plastics with recycled plastic"/>
        <s v="In logistics packaging 44% of the plastic used is recycled and 70% of the paper used is recycled"/>
        <s v="Packaging for Stone Island end clients made of lower impact materials"/>
        <s v="“preferred” cotton used in the 2025 collections"/>
        <s v="lower impact yarns and fabrics (e.g. GRS, GOTS, RWS) used in SS and FW 2022 collections"/>
        <s v="Over 45% of the wool used in the SS and FW 2023 collections is made with certified materials, for example Responsible Wool Standard – RWS, Nativa, Sustainawool"/>
        <s v="Scope 1 and 2 GHG emissions (in tons CO2e), baseline"/>
        <s v="Scope 3 GHG emissions (in tons CO2e), baseline"/>
        <s v="self-produced energy from owned photovoltaic systems"/>
        <s v="Self-produced renewable electricity in industrial facilities"/>
        <s v="0 stores"/>
        <s v="6.4 million tCO2e"/>
        <s v="Clothes hangers account for around 65% of total SUP volumes used in Primark."/>
        <s v="Application of PVC in various product areas"/>
        <s v="RSL Test Results Recorded in the PUMA RSL Database"/>
        <s v="Plastic shopping bags (stores, tons)"/>
        <s v="Apparel with at least 50% more sustainable material;&#10;Accessories with at least 50% more sustainable material&#10;"/>
        <s v="Footwear with at least one more sustainable component"/>
      </sharedItems>
    </cacheField>
    <cacheField name="baseline value">
      <sharedItems containsBlank="1" containsMixedTypes="1" containsNumber="1">
        <m/>
        <n v="140.0"/>
        <n v="6.45"/>
        <n v="0.0157"/>
        <n v="164149.0"/>
        <n v="6578270.0"/>
        <n v="6742419.0"/>
        <n v="1300.0"/>
        <n v="3.83"/>
        <n v="3.38"/>
        <n v="3.71"/>
        <n v="3.16"/>
        <n v="2000.0"/>
        <n v="190.39"/>
        <n v="0.22"/>
        <n v="0.13"/>
        <n v="574611.0"/>
        <n v="0.92"/>
        <n v="0.209"/>
        <n v="1.0"/>
        <n v="587000.0"/>
        <n v="39.7"/>
        <n v="7684.0"/>
        <n v="5681.0"/>
        <s v="35156 (Location-based Scope 2) - 29566 (Market-based Scope 2)"/>
        <n v="489579.0"/>
        <n v="0.16"/>
        <n v="0.25"/>
        <s v="Targets were resubmitted to SBTi in 2024, baseline switched from FY21 to FY22 "/>
        <s v="2021 scope 3 baseline values updated annually"/>
        <n v="2.54"/>
        <n v="26136.0"/>
        <n v="96.0"/>
        <s v="Scope 1: 21,055 / Scope 2 :486,957 / Scope 3: 1,761,288 tCO₂e"/>
        <n v="29.1"/>
        <n v="0.624"/>
        <n v="3.0"/>
        <n v="93.0"/>
        <n v="8.0"/>
        <n v="9379.05"/>
        <n v="140000.0"/>
        <n v="0.5"/>
        <n v="0.35"/>
        <n v="98.0"/>
        <n v="200686.0"/>
        <n v="13060.2"/>
        <n v="213746.2"/>
        <s v="12% of cotton used in SS and FW 2023 collections is organic or recycled"/>
        <n v="0.08"/>
        <n v="0.45"/>
        <n v="0.85"/>
        <n v="0.8"/>
        <n v="0.65"/>
        <n v="0.3"/>
        <n v="492268.0"/>
        <n v="0.82"/>
        <n v="505310.0"/>
        <n v="0.02"/>
        <n v="0.012"/>
        <n v="47126.0"/>
        <n v="1597070.0"/>
        <n v="418748.0"/>
        <n v="2014207.0"/>
        <n v="0.84"/>
        <n v="0.37"/>
        <n v="0.36"/>
        <n v="0.24"/>
        <n v="0.1"/>
        <n v="0.55"/>
        <n v="0.6"/>
        <n v="0.15"/>
        <s v="6.4 million tCO2e"/>
        <n v="5.0"/>
        <s v="about 4%"/>
        <n v="400.0"/>
        <s v="Apparel: 81%; Accessories: 47%"/>
        <s v="&gt;98%"/>
        <s v="14576 (1308 Scope 1 + 13268 Scope 2)"/>
        <s v="239580 (198339 from purchase of goods and services + 41241 from logistics)"/>
        <n v="4806.5"/>
        <n v="11.4"/>
        <n v="0.46499999999999997"/>
      </sharedItems>
    </cacheField>
    <cacheField name="baseline unit" numFmtId="0">
      <sharedItems containsBlank="1">
        <m/>
        <s v="grams/pair"/>
        <s v="kg CO2e per product"/>
        <s v="share of facilities"/>
        <s v="share of chemical formulations"/>
        <s v="m3/US $ total product output value"/>
        <s v="tons CO2e"/>
        <s v="tonnes of organic cotton"/>
        <s v="kg CO2/SEK 1,000 annual turnover"/>
        <s v="tonnes of CO2-e for every million SEK of turnover"/>
        <s v="kWh/m2"/>
        <s v="share of cotton that is from sustainable sources"/>
        <s v="% of water recycled out of total production water consumption"/>
        <s v="tonnes CO2e (Scope 1-3)"/>
        <s v="waste handled in our distribution centers to be recycled"/>
        <s v="shoes with water-based adhesives"/>
        <s v="certified down according to RDS"/>
        <s v="tonnes CO2e"/>
        <s v="million PET bottles worth of recycled polyester used"/>
        <s v="recycled or other sustainably sourced materials in H&amp;M brand."/>
        <s v="tonnes of collected garments annually"/>
        <s v="tCO2eq"/>
        <s v="%"/>
        <s v="emissions"/>
        <s v="kg CO2 emissions per order"/>
        <s v="tons of CO2"/>
        <s v="Relative water consumption (litres/kg garment)"/>
        <s v=" tCO₂e"/>
        <s v="g per FP"/>
        <s v="litre per FG"/>
        <s v="/"/>
        <s v="cotton used is certified organic or Better Cotton Initiative"/>
        <s v="production volume from suppliers engaged in improvement programs through the Higg platform"/>
        <s v="clothes made with materials from low impact supply chains"/>
        <s v="denim produced with Waterless method"/>
        <s v="Percentage of materials from certified low impact supply chains"/>
        <s v="emissions in supply chain caused by coal-fired boilers"/>
        <s v="% of green vehicles"/>
        <s v="m3"/>
        <s v="kWh"/>
        <s v="failure rate"/>
        <s v="tons"/>
        <s v="kwh / employee"/>
        <s v="m³ / employee"/>
        <s v="t / employee"/>
      </sharedItems>
    </cacheField>
    <cacheField name="baseline source" numFmtId="0">
      <sharedItems containsBlank="1">
        <m/>
        <s v="Social and Environmental Report 2003"/>
        <s v="Group Management Report – Sustainability Statement 2024, table esrs-e1-4-targets-climate-chg"/>
        <s v="SER 2008"/>
        <s v="SER 2005"/>
        <s v="SER 2010"/>
        <s v="SER 2011"/>
        <s v="SER 2016"/>
        <s v="SER 2019"/>
        <s v="SER 2012"/>
        <s v="SER 2015"/>
        <s v="SER 2013"/>
        <s v="SER 106"/>
        <s v="SER 2014"/>
        <s v="2022_Sustainability-Report_Armani-Group"/>
        <s v="Sustainability-Report-2021-Armani-Group-EN-1"/>
        <s v="Chanel Mission 1.5°C"/>
        <s v="Sustainability performance extract 2023"/>
        <s v="SUSTAINABILITY REPORT 2021"/>
        <s v="SUSTAINABILITY REPORT 2022"/>
        <s v="2020 Universal registration document"/>
        <s v="2021 Universal registration document"/>
        <s v="2022 Universal registration document"/>
        <s v="Annual Report 2017"/>
        <s v="Sustainability Progress Report 2020"/>
        <s v="Annual Report 2023"/>
        <s v="New Sustainability committments 2023"/>
        <s v="Annual Report 2018"/>
        <s v="2009 sustainable development report"/>
        <s v="2013 sustainable development report"/>
        <s v="Sustainbility report 2020 L'Oréal for the future"/>
        <s v="Sustainability report 2024"/>
        <s v="2016 Social and Environmental Responsibility Report - LVMH"/>
        <s v="2020 Social and Environmental Responsibility Report - LVMH"/>
        <s v="Sustainability report 2017"/>
        <s v="2020 Consolidated non financial statement"/>
        <s v="2021 Consolidated non financial statement"/>
        <s v="2022 CONSOLIDATED NON-FINANCIAL STATEMENT | Moncler Group"/>
        <s v="2023 Consolidated non Financial Statement"/>
        <s v="Sustainability Report 2020"/>
        <s v="OVS Annual Report 2024"/>
        <s v="Sustainability Report 2023"/>
        <s v="2023 Sustainability Report"/>
        <s v="Prada Group's Sustainability Report 2024"/>
        <s v="Detox commitment performance report 2015"/>
        <s v="Primark Sustainability and Ethics Report 2022"/>
        <s v="Product-related Environmental &amp; Social Report 2000"/>
        <s v="Business and Sustainability Report 2012"/>
        <s v="Business and Sustainability Report 2014"/>
        <s v="Business and Sustainability Report 2015"/>
        <s v="Business and Sustainability Report 2018"/>
        <s v="Business and Sustainability Report 2020"/>
        <s v="Annual report Ferragamo 2020"/>
        <s v="Sustainability Report 2010"/>
      </sharedItems>
    </cacheField>
    <cacheField name="baseline Notes" numFmtId="0">
      <sharedItems containsBlank="1">
        <m/>
        <s v="p.43"/>
        <s v="p. 31"/>
        <s v="p. 71"/>
        <s v="p 71"/>
        <s v="p 59"/>
        <s v="p 87"/>
        <s v="p 123"/>
        <s v="p 26"/>
        <s v="p 60"/>
        <s v="p 66. was already at 92% in 2012"/>
        <s v="p 19"/>
        <s v="p 64"/>
        <s v="p 33"/>
        <s v="p 52"/>
        <s v="p 86"/>
        <s v="p 66"/>
        <s v="p 47 (90 on page); first value uses Location-based Scope 2, second value uses Market-based Scope 2 "/>
        <s v="p.8"/>
        <s v="p.10"/>
        <s v="p.4"/>
        <s v="p.44 Wool &amp; Cashmere: 25% of raw materials come from various certifications, the main one being Authentico scheme by Schneider Group; Cotton: about 5%, GOTS and GRS certification; Man-made Cellulosics: about 42%, OEKO-TEX Standard 100 (Bemberg™ - CUPRO) a"/>
        <s v="p.46"/>
        <s v="p.42"/>
        <s v="p.43, differs from the value calculated in 2019 (191408 tons CO2e), (report 2023, p.114, 435138 tons CO2e value of 2021 baseline)"/>
        <s v="p.142"/>
        <s v="p.129"/>
        <s v="p.154"/>
        <s v="p 34, total emissions: 209650 tons"/>
        <s v="p 13, target 2025: 5228 t"/>
        <s v="p 226"/>
        <s v="p194"/>
        <s v="p 191"/>
        <s v="p.5"/>
        <s v="p.50"/>
        <s v="p.163"/>
        <s v="p.33"/>
        <s v="p.45"/>
        <s v="p.64-65"/>
        <s v="p.85, Market-based value: 7,437.93"/>
        <s v="p.85"/>
        <s v="p.35"/>
        <s v="Report 2022, (p.52) The original target was changed because in some countries no suitable nylon recycling operators were found and transport outside the country of production is subject to customs restrictions"/>
        <s v="p.53"/>
        <s v="p.140, p.179"/>
        <s v="p.140, p.179, MB value: 4824,1"/>
        <s v="Baseline year and goal value not explicitly indicated in document, calculated on 2021 values."/>
        <s v="p.55"/>
        <s v="p.56"/>
        <s v="p 13 (24 on page)"/>
        <s v="p 24 (48 on page)"/>
        <s v="p 12 (22 on page)"/>
        <s v="p 17 (32 on page)"/>
        <s v="p 99"/>
        <s v="p 13 (20 on page)"/>
        <s v="p 95 (186 on page)"/>
        <s v="p.74 "/>
        <s v="Exclusion of Marchesi 1824 Srl from emissions calculations. Luna Rossa Challenge is not included in the scope of the inventory as it was acquired in 2021. (p.124)"/>
        <s v="p.78"/>
        <s v="p.70"/>
        <s v="p.75"/>
        <s v="p.99"/>
        <s v="p.100"/>
        <s v="p.109"/>
        <s v="p.110"/>
        <s v="p.76"/>
        <s v="Carbon Trust gave advice on establishing baseline. 88% of emissions are in supply chain. "/>
        <s v="Clothes hangers account for around 65% of total SUP volumes used in Primark."/>
        <s v="Same pledge appears in 2003 report, with 2001 as baseline year instead of 2000"/>
        <s v="It was a KPI in 2016, became a goal in 2017, after achivement"/>
        <s v="p 153"/>
        <s v="p 47"/>
      </sharedItems>
    </cacheField>
    <cacheField name="target/current year" numFmtId="0">
      <sharedItems containsString="0" containsBlank="1" containsNumber="1" containsInteger="1">
        <n v="2001.0"/>
        <n v="2002.0"/>
        <n v="2003.0"/>
        <n v="2010.0"/>
        <n v="2015.0"/>
        <m/>
        <n v="2018.0"/>
        <n v="2020.0"/>
        <n v="2024.0"/>
        <n v="2023.0"/>
        <n v="2004.0"/>
        <n v="2005.0"/>
        <n v="2007.0"/>
        <n v="2008.0"/>
        <n v="2009.0"/>
        <n v="2019.0"/>
        <n v="2011.0"/>
        <n v="2012.0"/>
        <n v="2022.0"/>
        <n v="2013.0"/>
        <n v="2014.0"/>
        <n v="2021.0"/>
        <n v="2025.0"/>
        <n v="2016.0"/>
        <n v="2030.0"/>
        <n v="2026.0"/>
        <n v="2017.0"/>
      </sharedItems>
    </cacheField>
    <cacheField name="target description">
      <sharedItems containsBlank="1" containsMixedTypes="1" containsNumber="1">
        <s v="g VOCs in footwear"/>
        <m/>
        <s v="Reducing VOCs in footwear factories in Asia"/>
        <s v="No use of one-way dishes or&#10;non-compostable one-way dishes"/>
        <s v="Reduction of relative energy use by 20%"/>
        <s v="30% carbon savings"/>
        <s v="20% water savings per employee"/>
        <s v="Reduction of household waste by 25% per employee"/>
        <s v="50% paper savings per employee"/>
        <s v="Business Trip Management: Reduce emissions caused by business travel to 570 kg CO2 per employee"/>
        <s v="‘Green’ Company Car Policy: Reduce carbon emissions caused by the company car fleet by 30%"/>
        <s v="source all cotton globally as more sustainable cotton"/>
        <s v="reduction in water consumption at strategic Tier 1 supplier facilities"/>
        <s v="reduction in water consumption at strategic Tier 2 apparel material supplier facilities"/>
        <s v="reduction in water consumption per employee (baseline 2008)"/>
        <s v="reduction in waste volume at strategic Tier 1 supplier facilities and strategic Tier 2 apparel  material supplier facilities"/>
        <s v="50% waste diversion from landfill for owned operations (offices, distribution centers, retail)"/>
        <s v="75% paper reduction per employee at own sites"/>
        <s v="reduction in energy consumption at strategic Tier 1 supplier facilities and strategic Tier 2 apparel  material supplier facilities"/>
        <s v="absolute reduction in CO2 Scope 1 and Scope 2 net emissions1 (baseline 2015)"/>
        <s v="share of wool that is certified by Textile Exchange’s Responsible ool Standard (‘RWS’)"/>
        <s v="share of our polyester to be recycled polyester"/>
        <s v="percent reduction"/>
        <s v="85% of all purchased IT products must meet the&#10;minimum environmental requirements of our ECOdeclarations for IT products"/>
        <s v="PET-plastic will be used instead of PVC as staff cards, club cards and gift vouchers"/>
        <s v="organic cotton in certain baby and children’s garments from Turkey"/>
        <s v="tonnes of organic cotton"/>
        <s v="tonnes of organic cotton in products with mixed cotton (organic and non-organic)"/>
        <s v="baby garments with the Flower, the EU’s eco-label"/>
        <s v="Flower-labelled garments"/>
        <s v="kg CO2/SEK 1,000 annual turnover"/>
        <s v="tonnes of transitional cotton used"/>
        <s v="tonnes of CO2-e for every million SEK of turnover"/>
        <s v="electricity intensity (kwh/m2)"/>
        <s v="% renewable electricity in own operations"/>
        <s v="100% renewable energy used in Italian offices and stores"/>
        <s v="Reduction of production water usage compared to 2017 baseline (l/kg, l/pc, l/m) 1 — see bar chart below"/>
        <s v="pairs of shoes made with water-based adhesives instead of VOCs"/>
        <s v="pairs of leather shoes with leather from certified tanneries"/>
        <s v="million pairs of shoes using water-based adhesives instead of VOCs"/>
        <s v="of leather shoes made with certified leather"/>
        <s v="factories covered by Supplier Energy Efficiency Programmes"/>
        <s v="million litres of water saved in denim production"/>
        <s v="tonnes CO2e (Scope 1-3)"/>
        <s v="waste handled in our distribution centers to be recycled"/>
        <s v="use only certified wool"/>
        <s v="Make 300% more garments with recycled fabric from collected garments"/>
        <s v="Use recycled polyester equivalent to at least 60 million PET bottles"/>
        <s v="goal to only source virgin wool from RWS-certified farms"/>
        <s v="20% of factories enrolled in an energy efficiency programme by 2018."/>
        <s v="-30% in Scope 1 GHG emissions"/>
        <s v="-50% in Scope 1 and 2 GHG emissions"/>
        <s v="-42% in Scope 3 GHG emissions"/>
        <s v="see p.83"/>
        <s v="Since 2020, about 93.45 hectares of woodland have been enhanced and almost 40,000 new trees and shrubs have been planted. In 2024, the Zegna Forest project continued with the restoration of an additional 15.7 hectares and the planting of over 6,000 new tr"/>
        <s v="Climate change commitment with Science-Based Targets initiative (SBTi) submitted by 2022"/>
        <s v="At least 50% content of plastics from recycling in business to consumer packaging"/>
        <s v="At least 50% content of plastics from recycling in business to business packaging"/>
        <s v="33% of traceable &amp; lower-impact top priority raw materials (35% like-for-like, excluding TOM FORD FASHION). "/>
        <s v="Group animal welfare policy formalized by 2022 and embedded in lower-impact raw material certifications"/>
        <s v="In progress. The Group has been experimenting with digital product tracking solutions to assess technology readiness"/>
        <s v="All production sites achieved the Foundational compliance level in 2023"/>
        <s v="Achieved"/>
        <s v="Targets were resubmitted to SBTi in 2024, baseline switched from FY21 to FY22 "/>
        <s v="In progress. Achieved 100% of electricity from renewable sources in Europe and the USA; in progress at Group level (70%)."/>
        <s v="0% destruction in France from 1 January 2023 (Agec law scope), target extended globally between 2025 and 2030"/>
        <s v="100% if stores with 100% of LED lighting"/>
        <s v="100% of leather suppliers undergo assessment"/>
        <s v="Achievement of the objectives set by the Animal Welfare policy for 100% of the Group’s animal sectors by 2025"/>
        <s v="100% of suppliers aligned with the CSR brief and the supply chain brief"/>
        <s v="80% of suppliers self‑assessed via the CSR questionnaire in 2024"/>
        <s v="Energy consumption reduction of -10% for sites in France"/>
        <s v="Reduce dormant leather inventories by 75%"/>
        <s v="make 50% of covers in GOTS‑certified cotton or using recycled silk"/>
        <s v="Map all of our supply chains and cover 100% of the Group’s activity"/>
        <s v="Zero discharge of hazardous chemicals"/>
        <s v="76% reduction in scope 1 and 2 achieved since 2018"/>
        <s v="100% of eco-efficient shops"/>
        <s v="We have exceeded the commitment set for 2020 with the Global Fashion Agenda&#10;to invest $3.5 million in this area."/>
        <s v="80% of the energy consumption in our facilities (headquarters, logistics centres and our own shops) comes from renewable sources."/>
        <s v="water -12%, carbon -0,9%, waste +0,1%"/>
        <s v="products sourced from factorys in FIP (Factory Improvement Program) of private labels"/>
        <s v="eliminate single-use plastics"/>
        <s v="share of private label GMV generated with more sustainable products"/>
        <s v="100% shops have containers for used clothing"/>
        <s v="Elimination of plastic bags"/>
        <s v="By 2023, we have managed to find alternative solutions to all single-use plastic items that reached the customer. We estimate that the application of these alternative solutions has enabled us to eliminate 95% of the weight of single-use plastic items."/>
        <s v="0% of waste coming from own instalations ends up in landfill"/>
        <s v="61% garments included in &quot;Join Life&quot;"/>
        <s v="85% fibres and 96% cotton from sustainable sources"/>
        <s v="In 2024, 89% of polyester and 74% linen comes from low impact/preferred sources"/>
        <s v="With the addition of the United States &#10;in 2024, the programme is now being implemented in 17 markets."/>
        <s v="17% reduction on water consumption related to the supply chain with respect to 2020"/>
        <s v="Reported restoration of 750.000 ha "/>
        <s v="&quot;In 2024, our GHG emissions are reduced by 5% compared to 2018, based on the emission categories covered by our SBT targets.&quot;"/>
        <s v="Commitment to halve carbon emissions in absolute value (scope 1 &amp; 2)"/>
        <s v="Commitment to halve waste generation (baseline 2005)"/>
        <s v="Commitment to water consumption at industrial sites (baseline 2005)"/>
        <s v="By 2020, innovate so that 100% of products have an environmental or social benefit."/>
        <s v="By 2020, reduce CO2 emissions at our plants and distribution centres by 60% in absolute terms, from a 2005 baseline."/>
        <s v="By 2020,  reduce our water consumption by 60% per finished product unit, from a 2005 baseline."/>
        <s v="By 2020,  reduce waste by 60% per finished product unit, from a 2005 baseline"/>
        <s v="Until 2020, send zero waste to landfill"/>
        <s v="By 2020, reduce our CO2 emissions from transportation of products by 20% per finished product unit from a 2011 baseline."/>
        <s v="By 2030, ensure that at least 90% of the bio-based ingredients and materials used in our formulas and packaging come from sustainable sources."/>
        <s v="store energy consumption"/>
        <s v="use of green energy"/>
        <s v="Replace 100% of retail space with full LED lighting"/>
        <s v="The Maisons in the Perfumes &amp; Cosmetics groups have committed to improving the Environmental Performance Index (EPI) for the packaging of their products by 10% between 2013 and 2020"/>
        <s v="The Maisons in the Wines &amp; spirit Champagne groups have committed to improving the Environmental Performance Index (EPI) for the packaging of their products by 10% between 2013 and 2020"/>
        <s v="The Maisons in the Wines &amp; spirit Cognac groups have committed to improving the Environmental Performance Index (EPI) for the packaging of their products by 10% between 2013 and 2020"/>
        <s v="The Perfumes &amp; Cosmetics Maisons have set themselves the objective of using 70% of palm oil derivatives certified by the RSPO (Roundtable on Sustainable Palm Oil)"/>
        <s v="LVMH has set itself the objective of using 70% of leather from LWG-certifi ed tanneries by 2020"/>
        <s v="Sustainable viticulture certification for LVMH-owned vineyards around the world"/>
        <s v="GOTS and BCI certified cotton"/>
        <s v="Fox, mink &amp; racoon certification (100%"/>
        <s v="All fur certification"/>
        <s v="RJC COP diamond certification"/>
        <s v="RJC COP gold certification"/>
        <s v="Reduce greenhouse gas emissions relating to energy consumption (scope 1 &amp; 2) by 25% (baseline 2013)"/>
        <s v="Objective of reducing at least one of the following three indicators by 10% by 2020: water consumption, energy consumption and waste generation (baseline 2013)"/>
        <s v="Establish an environmental management system at sites (through ISO 14001 environmental certification)"/>
        <s v="Commitment to reducing its stores’ energy consumption per square meter by 30% "/>
        <s v="By 2026, LVMH aims to halve emissions from energy consumption (Scope 1 &amp; 2) (baseline 2019)"/>
        <s v="Introducing new circular services (repairs, upcycling, etc.)"/>
        <s v="26% of the tier 2 factories in its value chain are registered in the ZDHC programme."/>
        <s v="93% of more sustainable cotton"/>
        <s v="&quot;2018 MANGO produced close to 9 million garments with sustainable characteristics. This accounts or 6% of total MANGO production for all its lines and fulfils the established targets.&quot;"/>
        <s v="94%  Cotton from low impact sources"/>
        <s v="68% polyester is recycled"/>
        <s v="78% cellulose fibers from trazable origin"/>
        <s v="70% all fibers come from preferred/ low impact sources"/>
        <s v="At least 50% of electricity consumption from renewable sources at own sites worldwide"/>
        <s v="Launch of DIST-certified down recycling process"/>
        <s v="At least 55% of nylon production scraps (Group’s direct production sites and Moncler’s outerwear suppliers) recycled"/>
        <s v="Extra-Life “advanced” repair service developed at global level"/>
        <s v="100% of packaging for Moncler end clients made of lower impact materials"/>
        <s v="Zero single-use virgin plastic"/>
        <s v="Key raw material traced"/>
        <s v="100% of key raw materials in line with the Responsible Raw Materials Manual"/>
        <s v="Moncler Group’s fur-free collections"/>
        <s v="Around 93% of the merino wool used in the SS and FW 2024 collections made with materials that are certified mulesing free (&gt;65% in the SS and FW 2023 collections)"/>
        <s v="packaging for Moncler and Stone Island end clients made with “preferred” materials"/>
        <s v="Scope 3 emissions"/>
        <s v="Scope 1 and 2 emissions"/>
        <s v="Scope 1, 2 and 3 emissions"/>
        <s v="“preferred” cotton used in the 2025 collections"/>
        <s v="Over 50% of yarns and fabrics will be from “preferred” materials (Materials that aim to deliver reduced impacts compared to the conventional equivalents used by the Moncler Group (for example recycled, organic, or certified according to specific standards"/>
        <s v="Around 70% of the wool used in the SS and FW 2024 collections made with certified materials, for example Responsible Wool Standard – RWS, Nativa, Sustainawool (&gt;45% in the SS and FW 2023 collections)"/>
        <s v="100% organic or recycled or Better Cotton Initiative fibers"/>
        <s v="100% head office and stores powered by renewable energy "/>
        <s v="100% product reports include circular design principles"/>
        <s v="100% clothing assessed by a circularity score"/>
        <s v="launched at least two initiatives to promote and research the recycling of cotton and polyester "/>
        <s v="100% certified or organic cotton"/>
        <s v="100% production volume from suppliers engaged in improvement programs through the Higg platform"/>
        <s v="90% clothes made with materials from low impact supply chains"/>
        <s v="-21% Scope 3 emissions"/>
        <s v="Scope 1 and 2 GHG emissions (in tons CO2e)"/>
        <s v="Scope 3 GHG emissions (in tons CO2e)"/>
        <s v="Electricity Produced from Owned Photovoltaic Systems"/>
        <s v="B2C packaging made from 100% recycled plastic "/>
        <s v="B2B packaging made from 100% recycled plastic "/>
        <s v="Textile fiber waste diverted from disposal"/>
        <s v="PFCs banned from supply chain in 2015, compliance monitoring (of finished products in particular) ongoing - 100% compliance 2018 and 2019."/>
        <s v="Strengthen our supplier contract language to ensure only APEO and phthalate-free formulations are used within our production"/>
        <s v="-15.9%"/>
        <s v="-19.5%"/>
        <s v="-2.3%"/>
        <n v="-0.04"/>
        <s v="64% of stores internationally"/>
        <s v="achieved ISO 50001 in relevant facilities"/>
        <s v="252,800 farmers trained in Primark Sustainable Cotton Programme"/>
        <s v="3% met its own Circular Product Standard"/>
        <n v="0.66"/>
        <s v="-1.9%"/>
        <s v="299,388 by July 2023"/>
        <s v="100 % of our products PVC-Free"/>
        <s v="Now, on average nine out of ten PUMA products are made with certified or recycled materials, as defined by our PUMA S-Index."/>
        <s v="100% sustainable packaging for a few products Clever Little Bag (Footwear), Clever Little Hanger (Accessories) introduced"/>
        <s v="Total, (old CO2 emission factor)"/>
        <s v="Waste (kg)"/>
        <s v="Energy consumption (kWh)"/>
        <s v="Water (m³). Absolute savings"/>
        <s v="Paper consumption from our own entities (excluding product packaging) could be reduced significantly over the last five years."/>
        <s v="3% interim reduction target"/>
        <s v="In summary, 2018 saw a 5.3% combined reduction of tons of CO2 per million euros of turnover per year over the year prior."/>
        <s v="We continue to source 100% renewable electricity for our own entities and have started the transition of our car fleet to electric cars at scale."/>
        <s v="-42% Scope 1 and 2 emissions"/>
        <s v="-42% Scope 3 emissions"/>
        <s v="100% certfied paper used in packaging"/>
        <s v="reduce energy use in offices by 25% compared to 2005/2006"/>
        <s v="reduce water use in offices by 25% compared to 2005/2006"/>
        <s v="reduce waste production in offices by 25% compared to 2005/2006"/>
      </sharedItems>
    </cacheField>
    <cacheField name="current value">
      <sharedItems containsBlank="1" containsMixedTypes="1" containsNumber="1">
        <s v="&lt;40"/>
        <s v="&gt;0"/>
        <s v="&gt;29"/>
        <s v="&lt;=10%"/>
        <n v="24.0"/>
        <m/>
        <n v="0.43"/>
        <n v="-0.15"/>
        <n v="-0.3"/>
        <n v="-0.28"/>
        <n v="-0.27"/>
        <n v="-0.38"/>
        <n v="1.0"/>
        <n v="-0.36"/>
        <n v="-0.43"/>
        <n v="-0.48"/>
        <n v="-0.5"/>
        <n v="-0.8"/>
        <n v="-0.23"/>
        <n v="-0.55"/>
        <n v="0.99"/>
        <n v="6.11"/>
        <n v="0.85"/>
        <n v="0.73"/>
        <n v="0.34"/>
        <s v="&quot;almost eight out of 10 articles&quot;"/>
        <n v="135814.0"/>
        <n v="5248523.0"/>
        <n v="5384337.0"/>
        <n v="0.69"/>
        <n v="0.812"/>
        <n v="0.05"/>
        <s v="&gt;40"/>
        <n v="78.0"/>
        <s v="&gt;900000"/>
        <n v="3000.0"/>
        <s v="~1400000"/>
        <n v="2.63"/>
        <s v="?"/>
        <n v="1875000.0"/>
        <n v="39.193925233644855"/>
        <n v="3.71"/>
        <n v="3.16"/>
        <n v="3.0"/>
        <s v="&gt;15000"/>
        <n v="145.084"/>
        <n v="0.9"/>
        <n v="-0.21"/>
        <n v="0.21"/>
        <s v="2,4 million"/>
        <n v="60000.0"/>
        <n v="7.4"/>
        <n v="0.27"/>
        <n v="154.0"/>
        <n v="300.0"/>
        <n v="480223.0"/>
        <n v="0.92"/>
        <n v="0.91"/>
        <n v="0.75"/>
        <s v="&lt;100%?"/>
        <n v="1.3"/>
        <n v="0.94"/>
        <n v="90.5"/>
        <n v="0.57"/>
        <n v="18800.0"/>
        <n v="0.18"/>
        <n v="5448.0"/>
        <s v="-57,% in Scope 1 and 2 (Market-based emissions)"/>
        <n v="-0.2"/>
        <s v="submitted "/>
        <n v="0.7"/>
        <n v="100.0"/>
        <n v="0.44"/>
        <s v="Italian suppliers represent 88% of total spending"/>
        <s v="-63.7%"/>
        <n v="0.0"/>
        <s v="unknown"/>
        <n v="0.71"/>
        <s v="6,2% (compared with 2022)"/>
        <n v="0.59"/>
        <n v="0.5"/>
        <s v="&gt; 3.5"/>
        <n v="0.8"/>
        <s v="&lt;10%"/>
        <n v="0.25"/>
        <n v="1.81"/>
        <n v="0.105"/>
        <n v="0.542"/>
        <n v="0.65"/>
        <n v="6.3"/>
        <n v="0.886"/>
        <n v="92.2"/>
        <n v="0.14"/>
        <s v="&lt;50%"/>
        <n v="0.61"/>
        <s v="85%, 96%"/>
        <s v="89%, 74%"/>
        <n v="17.0"/>
        <n v="0.17"/>
        <n v="750000.0"/>
        <n v="-0.05"/>
        <n v="-0.56"/>
        <n v="-0.35"/>
        <n v="0.96"/>
        <n v="-0.81"/>
        <n v="-0.49"/>
        <n v="-0.37"/>
        <n v="-0.24"/>
        <n v="-0.31"/>
        <s v="unclear"/>
        <n v="0.39"/>
        <n v="0.67"/>
        <n v="0.1"/>
        <n v="0.005"/>
        <n v="0.31"/>
        <n v="0.74"/>
        <n v="0.51"/>
        <n v="0.56"/>
        <n v="0.79"/>
        <n v="-0.365"/>
        <n v="-0.116"/>
        <n v="0.551"/>
        <n v="0.97"/>
        <n v="93.0"/>
        <n v="0.06"/>
        <n v="94.0"/>
        <n v="68.0"/>
        <n v="70.0"/>
        <s v="100% of electricity used at directly managed corporate sites worldwide from renewable source"/>
        <s v="65% only Moncler company, 56% Group"/>
        <s v="&gt;50% of the nylon used in the SS and FW 2024 collections is made of “preferred” material, for example recycled (&gt;40% in the SS and FW 2023 collections)"/>
        <s v="Recycled approximately one tonne of DIST-certified down"/>
        <s v="100% of nylon scraps recycled from own direct sites. Recycling extended to Moncler external outerwear production network, reaching 55% of total outerwear nylon scraps"/>
        <s v="Project redefined"/>
        <s v="Eliminated single-use virgin plastic from fossil origin"/>
        <s v="100% of packaging used in logistics processes made with “preferred” materials"/>
        <n v="0.98"/>
        <n v="0.93"/>
        <n v="227986.0"/>
        <n v="20140.0"/>
        <n v="248126.0"/>
        <s v="37% of cotton used in the SS and FW 2024 collections is organic or recycled (&gt;12% in the SS and FW 2023 collections)"/>
        <s v="&gt;43% of the yarns and fabrics used in the SS and FW 2024 collections made with &quot;preferred&quot; materials (&gt;25% in the SS and FW 2023 collections)"/>
        <n v="-0.1369"/>
        <n v="0.54"/>
        <n v="31567.0"/>
        <n v="817408.0"/>
        <n v="293018.0"/>
        <n v="6400000.0"/>
        <n v="0.52"/>
        <n v="0.45"/>
        <n v="0.49"/>
        <n v="0.09"/>
        <n v="0.83"/>
        <n v="0.89"/>
        <n v="90.0"/>
        <s v="%"/>
        <n v="-10.0"/>
        <n v="6.0"/>
        <n v="-22.0"/>
        <n v="-44.0"/>
        <n v="1.2"/>
        <n v="-0.053"/>
        <s v="16007 (+10%)"/>
        <s v="130815 (-45%)"/>
        <n v="0.818"/>
        <n v="3713.0"/>
        <n v="11.5"/>
        <n v="0.15"/>
        <n v="0.994"/>
        <n v="0.979"/>
        <n v="0.355"/>
        <n v="0.127"/>
      </sharedItems>
    </cacheField>
    <cacheField name="target unit" numFmtId="0">
      <sharedItems containsBlank="1">
        <s v="g VOCs in footwear"/>
        <m/>
        <s v="Reducing VOCs in footwear factories in Asia"/>
        <s v="No use of one-way dishes or&#10;non-compostable one-way dishes"/>
        <s v="&quot;Better Cotton&quot; in all cotton"/>
        <s v="Reduction of relative energy use by 20%"/>
        <s v="30% carbon savings"/>
        <s v="20% water savings per employee"/>
        <s v="Reduction of household waste by 25% per employee"/>
        <s v="50% paper savings per employee"/>
        <s v="Business Trip Management: Reduce emissions caused by business travel to 570 kg CO2 per employee"/>
        <s v="‘Green’ Company Car Policy: Reduce carbon emissions caused by the company car fleet by 30%"/>
        <s v="footwear with &quot;more sustainable content"/>
        <s v="source all cotton globally as more sustainable cotton"/>
        <s v="single-use plastics"/>
        <s v="reduction in water consumption at strategic Tier 1 supplier facilities"/>
        <s v="reduction in water consumption at strategic Tier 2 apparel material supplier facilities"/>
        <s v="reduction in water consumption per employee (baseline 2008)"/>
        <s v="reduction in waste volume at strategic Tier 1 supplier facilities and strategic Tier 2 apparel  material supplier facilities"/>
        <s v="less landfill waste compared to 2015"/>
        <s v="paper reduction compared to 2008"/>
        <s v="reduction in energy consumption at strategic Tier 1 supplier facilities and strategic Tier 2 apparel  material supplier facilities"/>
        <s v="absolute reduction in CO2 Scope 1 and Scope 2 net emissions1 (baseline 2015)"/>
        <s v="share of wool that is certified by Textile Exchange’s Responsible ool Standard (‘RWS’)"/>
        <s v="share of our polyester to be recycled polyester"/>
        <s v="percent reduction"/>
        <s v="85% of all purchased IT products must meet the&#10;minimum environmental requirements of our ECOdeclarations for IT products"/>
        <s v="PET-plastic will be used instead of PVC as staff cards, club cards and gift vouchers"/>
        <s v="organic cotton in certain baby and children’s garments from Turkey"/>
        <s v="tonnes of organic cotton"/>
        <s v="tonnes of organic cotton in products with mixed cotton (organic and non-organic)"/>
        <s v="baby garments with the Flower, the EU’s eco-label"/>
        <s v="Flower-labelled garments"/>
        <s v="kg CO2/SEK 1,000 annual turnover"/>
        <s v="tonnes of transitional cotton used"/>
        <s v="percent of factories enrolled in an energy efficiency program"/>
        <s v="tonnes of CO2-e for every million SEK of turnover"/>
        <s v="kwh/m2"/>
        <s v="% renewable electricity in own operations"/>
        <s v="share of cotton that is from sustainable sources"/>
        <s v="% reduction in production water use (water intensive tier 1 and 2 suppliers) from 2017 baseline"/>
        <s v="% of water recycled out of total production water consumption"/>
        <s v="pairs of shoes made with water-based adhesives instead of VOCs"/>
        <s v="pairs of leather shoes with leather from certified tanneries"/>
        <s v="million pairs of shoes using water-based adhesives instead of VOCs"/>
        <s v="of leather shoes made with certified leather"/>
        <s v="factories covered by Supplier Energy Efficiency Programmes"/>
        <s v="million litres of water saved in denim production"/>
        <s v="tonnes CO2e (Scope 1-3)"/>
        <s v="waste handled in our distribution centers to be recycled"/>
        <s v="% of facilities in own operations with water-efficient equipment"/>
        <s v="% OF SUPPLIER FACTORIES IN FULL COMPLIANCE WITH WASTEWATER QUALITY REQUIREMENTS (BSR)"/>
        <s v="certified wool"/>
        <s v="million pieces with at least 20% recycled materials"/>
        <s v="million PET bottles worth of recycled polyester used"/>
        <s v="Responsible Wool Standard (RWS) certified wool in our products"/>
        <s v="tonnes of collected garments annually"/>
        <s v="tCO2eq"/>
        <s v="% renewable energy"/>
        <s v="%"/>
        <s v="% renewable electricity in Europe and US"/>
        <s v="emissions reduction in absolute value since 2018 (market-based)"/>
        <s v="new products destroyed"/>
        <s v="% of stores equiped with LED lighting"/>
        <s v="% of leather suppliers LWG certified"/>
        <s v="% of purchases related to animal supply chains covered by the Group’s Animal Welfare policy"/>
        <s v="% of the suppliers assessed with the CSR brief. Interestingly enough, the 2024 Universal registration document doesn't reference these numbers again. "/>
        <s v="% of the suppliers assessed with the CSR self‑assessment questionnaire. Interestingly enough, the 2024 Universal registration document doesn't reference these numbers again. "/>
        <s v="% of energy consumption reduction in French sites. In the document, it says that it's compared with 2022, but baseline is 2019"/>
        <s v="% of dormant leather inventories reduction"/>
        <s v="% of covers made with GOTS-certified cotton or recycled silk"/>
        <s v="% of material suppliers analysed "/>
        <s v="emisisons"/>
        <s v="shops"/>
        <s v="M$"/>
        <s v="energy consumption"/>
        <s v="products sourced from factorys in FIP (Factory Improvement Program) of private labels"/>
        <s v="kg CO2e per order"/>
        <s v="packaging from renewable sources"/>
        <s v="of Gross Merchandise Volume generated with more sustainable products"/>
        <s v="share of cotton that is Better Cotton"/>
        <s v="g single-use plastic packaging per item shipped"/>
        <s v="share of private label GMV generated with more sustainable products"/>
        <s v="million fashion products' lives extended"/>
        <s v="&quot;responsibly sourced&quot; man-made cellulosics"/>
        <s v="percent more sustainable cotton"/>
        <s v="more sustainable leather"/>
        <s v="responsible animal fibers"/>
        <s v="recycled polyester"/>
        <s v="garments"/>
        <s v="fibres"/>
        <s v="markets"/>
        <s v="ha"/>
        <s v="tCO2e"/>
        <s v="% of CO2 emissions in absolute"/>
        <s v="% of waste generation (gram/finished product)"/>
        <s v="% of water consumption (liter/finished product)"/>
        <s v="% of new products"/>
        <s v="waste to landfill"/>
        <s v="% of CO2 emissions (in grams of CO2 per unit sold per kilometre)"/>
        <s v="% of ingredients"/>
        <s v="% of retail space with full led lighting"/>
        <s v="% of amelioration of the EPI"/>
        <s v="% of palm oil suppliers RSPO certified"/>
        <s v="% of international vineyards certified"/>
        <s v="% of cotton suppliers GOTS and BCI certified"/>
        <s v="% of fur suppliers with the highest standards"/>
        <s v="% of all furs suppliers with the highest standards"/>
        <s v="proportion of suppliers RJC COP certified"/>
        <s v="% of CO2 emission reduction"/>
        <s v="% of water consumption on sites"/>
        <s v="industrial facilities covered by environmental management systems"/>
        <s v="% reduction in the energy consumed by stores in kWh/m"/>
        <s v="% of reduction in GHG emissions"/>
        <s v="% of brands who have implemented circular services excluding wines &amp; spirits brands"/>
        <s v="tons CO2e"/>
        <s v="organic or Better Cotton Initiative fibers"/>
        <s v="cotton used is recycled, organic or Better Cotton "/>
        <s v="production volume from clothing suppliers engaged in improvement programs through the Higg platform"/>
        <s v="Better Products of the total assortment, also ahead of our target for 2025"/>
        <s v="Scope 3 emissions"/>
        <s v="Scope 1 and 2 GHG emissions (in tons CO2e)"/>
        <s v="Scope 3 GHG emissions (in tons CO2e)"/>
        <s v="kWh"/>
        <s v="% of green vehicles"/>
        <s v="% PVC-free products"/>
        <s v="% reduction in t"/>
        <s v="% reduction in kwh / employee"/>
        <s v="% reduction in m3/employee"/>
        <s v="% reduction in kg/ employee"/>
        <s v="% reduction in tons CO2 per € million turnover per year"/>
        <s v="% RSL failures"/>
        <s v="certfied paper used in packaging"/>
        <s v="kwh / employee"/>
        <s v="m³ / employee"/>
        <s v="t / employee"/>
        <s v="BCI certified cotton"/>
        <s v="LWG Medal Rated leather/recycled leather"/>
        <s v="Bluesign certified polyester"/>
        <s v="FSC certified paper / cardboard"/>
        <s v="Responsible Down (RDS)"/>
      </sharedItems>
    </cacheField>
    <cacheField name="target source" numFmtId="0">
      <sharedItems containsBlank="1">
        <s v="Social and Environmental Report 2001"/>
        <s v="Social and Environmental Report 2002"/>
        <s v="Social and Environmental Report 2003"/>
        <s v="Green Company Report 2011"/>
        <s v="Sustainability report 2015"/>
        <m/>
        <s v="Annual report 2020"/>
        <s v="Green Company Report 2018"/>
        <s v="Green Company Report 2020"/>
        <s v="Group Management Report – Sustainability Statement 2024, table esrs-e1-4-targets-climate-chg"/>
        <s v="SER 2002"/>
        <s v="SER 2003"/>
        <s v="SER 2004"/>
        <s v="SER 2005"/>
        <s v="SER 2007"/>
        <s v="SER 2008"/>
        <s v="SER 2009"/>
        <s v="SER 2010"/>
        <s v="SER 2019"/>
        <s v="SER 2011"/>
        <s v="SER 2012"/>
        <s v="SER 2020"/>
        <s v="Sustainability report 2023"/>
        <s v="Sustainability Disclosure 2022"/>
        <s v="SER 2015"/>
        <s v="SER 2013"/>
        <s v="SER 2014"/>
        <s v="SER 2018"/>
        <s v="SER 2022"/>
        <s v="2023_Sustainability-Report_Armani-Group"/>
        <s v="Chanel Mission 1.5°C Performance Update 2021"/>
        <s v="SUSTAINABILITY REPORT 2024"/>
        <s v="SUSTAINABILITY REPORT 2022"/>
        <s v="Zegna Sustainability Report 2023"/>
        <s v="Universal registration document 2024"/>
        <s v="Universal registration document 2022"/>
        <s v="Universal registration document 2023"/>
        <s v="Water Use, 2021 Website"/>
        <s v="Annual  Report 2020"/>
        <s v="Annual Report 2019"/>
        <s v="Annual Report 2018"/>
        <s v="Sustainability Progress Report 2019"/>
        <s v="Sustainability Progress Report 2020"/>
        <s v="Sustainability Progress Report 2023"/>
        <s v="Sustainability Progress Report 2021"/>
        <s v="CSRD Digest 2024 / Annual Report 2024"/>
        <s v="Annual Report 2023"/>
        <s v="Annual report 2022"/>
        <s v="Annual Report 2024"/>
        <s v="New Sustainability committments"/>
        <s v="Annual report 2015"/>
        <s v="Annual report 2016"/>
        <s v="Sustainability report 2020 - sharing beauty with all"/>
        <s v="Sustainbility report 2020"/>
        <s v="Sustainbility report 2024"/>
        <s v="Sustainbility report 2023"/>
        <s v="2022 Sustainability report"/>
        <s v="Sustainability report 2018"/>
        <s v="2024 Sustainability report"/>
        <s v="2024 Group Annual Report"/>
        <s v="2020 Consolidated non financial statement"/>
        <s v="2023 Consolidated non Financial Statement"/>
        <s v="2021 Consolidated non financial statement"/>
        <s v="2022 CONSOLIDATED NON-FINANCIAL STATEMENT | Moncler Group"/>
        <s v="Consolidated Sustainability Statement (section of the 2024 Annual Report)"/>
        <s v="Sustainability Report 2020"/>
        <s v="OVS Bilancio annuale 2017"/>
        <s v="OVS Annual Report"/>
        <s v="OVS Consolidated Non-financial Statement 2019"/>
        <s v="Sustainability Report 2021"/>
        <s v="OVS Annual Report 2024"/>
        <s v="2022 Prada Group's Sustainability Report"/>
        <s v="Prada Group's Sustainability Report 2024"/>
        <s v="2023 Sustainability Report"/>
        <s v="Detox commitment performance report 2015"/>
        <s v="Primark Chemical Management Programme: Statement on Progress and Roadmap 2015/2016"/>
        <s v="Detox commitment performance report 2015/2026"/>
        <s v="Primark Environmental Sustainability Performance Report 2020"/>
        <s v="Primark Sustainability and Ethics Progress Report 2024"/>
        <s v="Primark Environmental Sustainability Performance Report 2019"/>
        <s v="Primark Sustainability and Ethics Report 2022/23"/>
        <s v="Primark Sustainability and Ethics Progress Report 2024."/>
        <s v="Sustainability Report 2004"/>
        <s v="Business and Sustainability Report 2024"/>
        <s v="Business and Sustainability Report 2013"/>
        <s v="Business and Sustainability Report 2015"/>
        <s v="Annual Report 2017 Sustainability"/>
        <s v="Business and Sustainability Report 2020"/>
        <s v="SRI 2017"/>
        <s v="Business and Sustainability Report 2018"/>
        <s v="Business and Sustainability Report 2022"/>
        <s v="Annual report Ferragamo 2024"/>
        <s v="Sustainability Report 2010"/>
        <s v="Business and Sustainability Report 2016"/>
        <s v="Business and Sustainability Report 2017"/>
        <s v="Business and Sustainability Report 2019"/>
      </sharedItems>
    </cacheField>
    <cacheField name="target Notes" numFmtId="0">
      <sharedItems containsBlank="1">
        <s v="p.42"/>
        <s v="p.40 &quot;By the beginning of 2002, adidas balls, shinguards, bags and accessories will be PVC-free. Most Salomon bags, gloves and protective gear will be PVC-free by the end of 2002. Our target is to find alternative materials in order to be completely PVC f"/>
        <s v="p. 48 &quot;Solvent consumption was reduced to 29 grams per pair for adidas footwear, and to 60 grams per pair for Salomon. Certain Salomon footwear styles have not achieved the targets.&quot;"/>
        <s v="p37, &quot;Some apparel styles from the international range, covering approximately 10 percent of all apparel units sold, still use plastisole inks containing PVC. However, we remain committed to seeking alternatives to the use of PVC in any of our products. d"/>
        <s v="p.43. 2015: 15.6 grams, 2008: 21.1 grams/pair"/>
        <s v="p 12, &quot;While reusable dishes have been introduced in many locations, a complete removal of disposable canteen dishes has proven to be a complex topic with many limitations. It was concluded that this topic cannot be managed globally as the individual loca"/>
        <s v="p 38"/>
        <s v="p.81"/>
        <s v="p.81. but then in report 2020 cites 27% for 2017, how does that line up?"/>
        <s v="no mention from 2012 onwards"/>
        <s v="p 49"/>
        <s v="p 40"/>
        <s v="p.110, through Better Cotton Initiative"/>
        <s v="p 4 &quot;The results of 2018 prove that the majority of our facilities accepted the challenge and acted as positive role models. They have eliminated  items like plastic bags, to-go cups, straws, coffee stirrers and food packaging.&quot;"/>
        <s v="p.107"/>
        <s v="p.107, target cited as 35% --&gt; goalpost shifted?"/>
        <s v="p.106"/>
        <s v="p 13, no further details"/>
        <s v="p 8"/>
        <s v="p.228"/>
        <s v="p.222"/>
        <m/>
        <s v="p.232"/>
        <s v="p. 34"/>
        <s v="p. 33"/>
        <s v="p. 58. &quot;However, we have not received statistics from all sales countries. Thus, we do not have accounts of some locally purchased products, but these purchases only make up a small proportion of all purchases.&quot;"/>
        <s v="p. 54"/>
        <s v="p. 68"/>
        <s v="p. 44"/>
        <s v="p. 23 &quot;In more recent years there has been growing demand for environmentally responsible and ethically sound products. We are pleased to be able to offer our customers quality and fashionable clothing made from organically grown cotton. This new collecti"/>
        <s v="p. 23. says &quot;completed&quot; on page 44, which isn't true"/>
        <s v="p. 32 &quot;For 2008 we set a target to use 50 tonnes of transitional cotton, which we did not achieve due to limited availability&quot;"/>
        <s v="p. 31"/>
        <s v="p. 41. &quot;In 2008 we sold almost 1,400,000 pieces and met the related target&quot; --&gt; not true"/>
        <s v="p. 46"/>
        <s v="p 87 &quot;As announced in our targets for 2009, we booked 250 tonnes of transitional cotton in China and agreed on related conditions. Unfortunately, as a result of unforeseen issues with our supplier, this agreement could not be fulfilled. Given these issues"/>
        <s v="p. 56"/>
        <s v="p 32 &quot;By the end of the year, 671 suppliers were enrolled in energy efficiency programmes&quot;. p. 6 &quot;1,712 manufacturing factories and final product processing units.*,**&quot;"/>
        <s v="p 79, &quot;we switched to recycled material for all of our standard plastic consumer bags. They are now made from 50 percent post-consumer and 50 percent pre-consumer recycled polyethylene (PE)."/>
        <s v="p. 20, no mention on Flower page details"/>
        <s v="p 71"/>
        <s v="p 59"/>
        <s v="p 60. only achieved with offsets, which doesn't satify the requirements of the target"/>
        <s v="p 87 &quot;While we are pleased to have met this target early, we are realistic about the fact that we cannot sustain growth in the use of organic cotton at the rates witnessed in recent years (77 percent in 2010 and 183 percent in 2009). This is because our o"/>
        <s v="achieved? -23% when calculated as best possible, not accounting for shift to &quot;per opening hour&quot;. p. 51 no absolute figures, only -17% compared to 2016. 2016 p 59 &quot;Electricity intensity (using less electricity per square meter sales area) has been reduced "/>
        <s v="p 28"/>
        <s v="p. 37, achieved in 2021"/>
        <s v="p 20"/>
        <s v="p 24"/>
        <s v="p 25"/>
        <s v="no mention anywhere"/>
        <s v="p 22"/>
        <s v="p. 21 no absolute values"/>
        <s v="p 64"/>
        <s v="p 76"/>
        <s v="Scope 1&amp;2 p. 81. Scope 3 p. 84. why only scope 1+2 suddenly?"/>
        <s v="no mention?"/>
        <s v="p 86"/>
        <s v="p. 102"/>
        <s v="p 40, no mention of goal. 2016: goal postponed to 2022"/>
        <s v="p 93"/>
        <s v="p 95"/>
        <s v="p 46, postponed again from 2022"/>
        <s v="p 28. was 29005 in 2019, 2020 lower because of the pandemic"/>
        <s v="p. 56 &quot;If we calculate our progress using the number of factories we had at the time of this goal-setting, we reached this goal. However, because the number of factories has substantially increased since we set the goal, programme enrolment is currently a"/>
        <s v="p 38; Target was achieved considering Scope 2 Market-based emissions; Scope 2 Location-based emissions were not reported"/>
        <s v="p 39"/>
        <s v="p 6"/>
        <s v="p.83"/>
        <s v="p.115"/>
        <s v="p.17"/>
        <s v="says &quot;achieved&quot; on page 24, but then no details on this in the chapter on plastic packaging"/>
        <s v="p.23"/>
        <s v="p.73: &quot;In the first half of 2023, the Group adopted an Animal Welfare Policy&quot;"/>
        <s v="p.24"/>
        <s v="p.18"/>
        <s v="p.91"/>
        <s v="p.25"/>
        <s v="p.75"/>
        <s v="p28"/>
        <s v="p114"/>
        <s v="p165"/>
        <s v="p131"/>
        <s v="p207"/>
        <s v="p64"/>
        <s v="p64, &quot;1,115 (of which 791 assessed)&quot;"/>
        <s v="p153"/>
        <s v="p64, 2024 no mention"/>
        <s v="p135"/>
        <s v="There is no specific reference to ‘logistics emissions’, but rather to scope 1 or direct emissions vs. scope 2 or indirect emissions. In this case, the 2020 report indicates that a 76% reduction in scope 1 and 2 emissions has been achieved since 2018."/>
        <s v="p.176"/>
        <s v="p.52"/>
        <s v="p. 22 &quot;We sourced 25% of private label business volume from factories that take part in our Factory Improvement Program&quot;"/>
        <s v="10% goal already achieved in 2018"/>
        <s v="p. 31 2020 p 24 not explicitly mentioned?. 2024 annual report, p. 227: &quot;By 2024, 89.0% of our packaging came from sustainable sources or from recycled content&quot;"/>
        <s v="p A2, down from 21% two years prior"/>
        <s v="p 30, In 2020, we more than tripled our assortment to more than 80,000 more sustainable products, compared with 25,000 a year earlier"/>
        <s v="p 32, at least for &quot;Private Label&quot;?"/>
        <s v="p A2"/>
        <s v="p. 27&quot;in 2021, we generated 65% of our private label GMV with more sustainable products. In 2020, we reported that 50% of our private label products fulfilled our sustainability criteria. The correct definition is that we generated 50% of our private labe"/>
        <s v="p 30"/>
        <s v="p 30, 6,6% transitional cotton and 1,2 not accounted for, assumed conventional cotton"/>
        <s v="p 30, 10% recycled, 4% responsible"/>
        <s v="p 30, 48.4% recycled synthetics in garments, 43.4% recycled polyester in shoes"/>
        <s v="no mention"/>
        <s v="no mention, company says target was amended"/>
        <s v="p.244"/>
        <s v="p.598"/>
        <s v="p.239"/>
        <s v="p.200"/>
        <s v="p.16"/>
        <s v="p.166"/>
        <s v="p48"/>
        <s v="p6"/>
        <s v="p9"/>
        <s v="p9, no change since 2016"/>
        <s v="p 50"/>
        <s v="p 37"/>
        <s v="p127"/>
        <s v="p127. Partially failed. Excerpt from 2020 Environmental report: &quot;Sites managed to cut their process water consumption by 11.6%, but did not fulfill the target with respect to waste production, achieving only a 4.4% reduction (compared with an 8.7% rise in"/>
        <s v="p127. &quot;&quot;The objective for all manufacturing and logistics sites to earn ISO 14001 certification was not achieved, yet the drop in certifications this year compared with 2019 (down from 71% to 69%) came as a result of a number of audits being pushed back t"/>
        <s v="P29"/>
        <s v="p87"/>
        <s v="The entire supply chain at ZDHC needs to be reviewed. No reference has been made to the achievement of this objective in the subsequent reports to which I have had access. Only to % of factories reviewed"/>
        <s v="Failed because in 2020 the entire supply chain has not been tracked (even in 2022)"/>
        <s v="p.12 (I don't know if &quot;more sustainable cotton equals the pledge of 50% sustainable cotton)"/>
        <s v="*This goal and the latter are the same (reviewed objective)"/>
        <s v="Change of baseline year and Scope 3 pledges value in 2022, following the integration of Stone Island"/>
        <s v="p.35"/>
        <s v="p.55"/>
        <s v="p.139"/>
        <s v="p.82"/>
        <s v="p.53"/>
        <s v="p.56"/>
        <s v="p.57"/>
        <s v="p.157"/>
        <s v="p.127"/>
        <s v="p.83, (p.283) Moncler Group, by adhering to the Fur-Free Retailer Policy, has committed to not using animal fur in all its collections. The word &quot;fur&quot; refers to any skin with hair from animals raised or caught in the wild exclusively or primarily for thei"/>
        <s v="p.82, (p.238) The Group has committed to purchasing only mulesing free certified merino wool from the 2025 collections, meaning wool from sheep not subjected to the practice of mulesing, which consists of removing a portion of skin around the tail to prev"/>
        <s v="p.133"/>
        <s v="p.131"/>
        <s v="p.130"/>
        <s v="p.82, p.153"/>
        <s v="p 13 (24 on page)"/>
        <s v="p 90"/>
        <s v="p 68"/>
        <s v="p 47"/>
        <s v="p 84 &quot;we have activated the collection of used clothing since 2013, and until 2020 we have collected over 1,200 tons of garments avoiding their disposal in landfills;&quot;, but no mention of in-store systems"/>
        <s v="p 84 &quot;we have activated the collection of used clothing since 2013, and until 2020 we have collected over 1,200 tons of garments avoiding their disposal in landfills;&quot;, but not clear whether this is per year or overall"/>
        <s v="p 56 &quot;Launch of a program for the recovery and recycling of textile production waste for the production of recycled materials in order to actively reintroduce them into the production cycle, through the Circular Fashion Partnership;&quot; not sure if that qual"/>
        <s v="p 86 &quot;In 2019, the replacement of 100% plastic display packaging with cardboard or recycled plastic backings was initiated, resulting in the elimination of more than 27,000 kg of previously used plastic between bags and product boxes in 2020.&quot;"/>
        <s v="p 13 (21 on page)"/>
        <s v="p 29 (55 on page)"/>
        <s v="p 18 (32 on page)"/>
        <s v="p 99"/>
        <s v="p. 67, New goal: 70% by 2023"/>
        <s v="p.158, Target achieved in 2022 if the &quot;Market based&quot; value is considered"/>
        <s v="p.72"/>
        <s v="p.159"/>
        <s v="p.76"/>
        <s v="p. 78"/>
        <s v="p. 70"/>
        <s v="p.85"/>
        <s v="p.92"/>
        <s v="p.100"/>
        <s v="Here's a copy of the restricted substances list as of December 2014, from the Wayback Machine. Set in conjunction with Greenpeace as part of Detox initiative. Worked with Bureau Veritaas; published a restricted substances list in English and Chinese in Se"/>
        <s v="Set in conjunction with Greenpeace as part of Detox initiative. All PFCs (short and long chain) eliminated from December 2015, according to 2016 sustainability report. &quot;We have actively manage product in delivery to ensure this ban is rigorously enforced."/>
        <s v="p.3"/>
        <s v="Figure for goal year of 2020 not reported in any sustainability reports; WRAP contacted for comment but have not responded."/>
        <s v="Gap to target here is so wide we could safely assume it wasn't met, but I've marked as unclear. No progress from 2018-2019. Figure for goal year of 2020 not reported in any sustainability reports; WRAP contacted for comment but have not responded."/>
        <s v="Textile takeback (cumulative figure as of July 2024): 638 tonnes; 31% of items were recycled or repurposed; 69% of items were suitable for resale"/>
        <s v="no mention in 2020"/>
        <s v="p 15"/>
        <s v="In key categories where many products are made using cotton, such as t-shirts and denim, 11% of all t-shirt and 5% all of denim sales meet our circularity criteria, respectively."/>
        <s v="Audited by EY. As of 2022 45% of clothing units sold met this criteria, an increase from 25% at the launch of Primark Cares, according to 2022 report. As of 2023 55% of our clothing units sold contained recycled or more sustainably sourced materials. 55% "/>
        <s v="down 11.6% YoY but because emissions had increased for a couple of years, down just 1.9% on baseline. Details on p45-46 of report."/>
        <s v="In FY2019/20 Primark removed: around 175m units of plastic which includes hangers (27.5m), hooks (61.9m), backing cards (64.7m), barbs (16.6m) and packaging (4.4m). In FY2019/20 Primark removed 86 million single-use labels and stickers from products. 2022"/>
        <s v="p.15, 90% are smallholders and 80% are women; 26% reduction in use of pesticides and 35% reduction in chemical fertilsers among PSCP farmers by comparison with control group in same region 2019-2022"/>
        <s v="p3. Achieved nine years later than expected"/>
        <s v="No mention to achievement or failure in the goal year (2015) report"/>
        <s v="p49, both absolute and relative reductions fail target"/>
        <s v="p49 relative target failed, absolute achieved"/>
        <s v="p 51 goal wrongly stated as 25%: &quot;...we achieved our 25% reduction target.&quot;"/>
        <s v="p13 &quot;The remaining 1% consist of exceptional cases where the oil-repellent properties of PFCs are still required, for example for the outfits supplied to our Formula One teams.&quot;"/>
        <s v="No mention to achievement or failure in the goal year (2020) report"/>
        <s v="p57, &quot;all our core suppliers now are 90% in ompliance with the ZDHC Wastewater Guidelines (foundational level).&quot;"/>
        <s v="p11"/>
        <s v="p53"/>
        <s v="p72 &quot;This leaves us with only the air quality target open from the previous target period&quot;"/>
        <s v="p 168"/>
        <s v="no data in recent reports"/>
        <s v="p 178"/>
        <s v="p 48"/>
        <s v="p64, rest recycled but that wasn't the target"/>
        <s v="p64, others OEKOTEX, but thats not the target"/>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F295" sheet="Documents"/>
  </cacheSource>
  <cacheFields>
    <cacheField name="Company name" numFmtId="0">
      <sharedItems>
        <s v="Adidas"/>
        <s v="Armani Group"/>
        <s v="Chanel"/>
        <s v="Ermenegildo Zegna"/>
        <s v="H&amp;M"/>
        <s v="Hermès"/>
        <s v="Inditex"/>
        <s v="L'Oréal"/>
        <s v="LVMH"/>
        <s v="MANGO"/>
        <s v="Moncler"/>
        <s v="OVS"/>
        <s v="Prada"/>
        <s v="Primark"/>
        <s v="Puma SE"/>
        <s v="Salvatore Ferragamo"/>
        <s v="Zalando"/>
      </sharedItems>
    </cacheField>
    <cacheField name="Document type" numFmtId="0">
      <sharedItems>
        <s v="Social and Environmental report"/>
        <s v="Annual report"/>
        <s v="Green Company Report"/>
        <s v="Sustainability Report"/>
        <s v="Annual financial results"/>
        <s v="Report to society"/>
        <s v="Mission 1.5°C report"/>
        <s v="Mission 1.5°C progress report"/>
        <s v="Sustainability performance extract"/>
        <s v="Sustainability performance report"/>
        <s v="Annual and sustainability report 2027"/>
        <s v="Sustainability disclosure report"/>
        <s v="Annual and sustainability report 2026"/>
        <s v="Annual and sustainability report 2025"/>
        <s v="Annual and sustainability report 2024"/>
        <s v="Sustainability progress report"/>
        <s v="Universal registration document"/>
        <s v="Anual report"/>
        <s v="Non- financial report 2021"/>
        <s v="New Sustainability Committments"/>
        <s v="THE L’ORÉAL SUSTAINABILITY COMMITMENT 2013 - 2020 CLOSING REPORT"/>
        <s v="Loréal for the future booklet"/>
        <s v="Sustainability report 2015"/>
        <s v="Sustainability report 2017"/>
        <s v="Sustainability report 2024"/>
        <s v="Animal Welfare Policy"/>
        <s v="Information for suppliers"/>
        <s v="NGO monitoring report (by Greenpeace)"/>
        <s v="NGO monititoring report (by WRAP)"/>
        <s v="Statement of goals"/>
        <s v="Product standard"/>
        <s v="Standard"/>
        <s v="Industry initiative"/>
        <s v="Environmental and Social Report"/>
        <s v="Business and Sustainability Report"/>
        <s v="Voluntary Sustainability Report"/>
        <s v="CSRD Digest"/>
      </sharedItems>
    </cacheField>
    <cacheField name="Year" numFmtId="0">
      <sharedItems containsString="0" containsBlank="1" containsNumber="1" containsInteger="1">
        <n v="2000.0"/>
        <n v="2001.0"/>
        <n v="2002.0"/>
        <n v="2003.0"/>
        <n v="2004.0"/>
        <n v="2005.0"/>
        <n v="2006.0"/>
        <n v="2007.0"/>
        <n v="2008.0"/>
        <n v="2009.0"/>
        <n v="2010.0"/>
        <n v="2011.0"/>
        <n v="2012.0"/>
        <n v="2013.0"/>
        <n v="2014.0"/>
        <n v="2015.0"/>
        <n v="2016.0"/>
        <n v="2017.0"/>
        <n v="2018.0"/>
        <n v="2019.0"/>
        <n v="2020.0"/>
        <n v="2021.0"/>
        <n v="2022.0"/>
        <n v="2023.0"/>
        <n v="2024.0"/>
        <n v="1998.0"/>
        <n v="1999.0"/>
        <m/>
      </sharedItems>
    </cacheField>
    <cacheField name="Link" numFmtId="0">
      <sharedItems containsBlank="1">
        <s v="Adidas Sustainability Reports"/>
        <s v="https://www.adidas-group.com/en/investors/financial-reports?tag=2024"/>
        <s v="https://www.adidas-group.com/en/investors/financial-reports?tag=2027"/>
        <s v="https://www.adidas-group.com/en/investors/financial-reports?tag=2030"/>
        <s v="Green Company Reports - adidas Group"/>
        <s v="https://www.adidas-group.com/en/investors/financial-reports?tag=2032"/>
        <s v="https://www.adidas-group.com/en/investors/financial-reports?tag=2033"/>
        <s v="https://www.adidas-group.com/en/investors/financial-reports?tag=2042"/>
        <s v="https://www.adidas-group.com/en/investors/financial-reports?tag=2038"/>
        <s v="https://www.adidas-group.com/en/investors/financial-reports?tag=2039"/>
        <s v="https://www.adidas-group.com/en/investors/financial-reports?tag=2040"/>
        <s v="https://www.adidas-group.com/en/investors/financial-reports?tag=2041"/>
        <s v="https://www.adidas-group.com/en/investors/financial-reports?tag=2043"/>
        <s v="https://www.adidas-group.com/en/investors/financial-reports?tag=2044"/>
        <s v="Sustainability-Report-2018-Armani-Group-EN"/>
        <s v="Sustainability-Report-2019-Armani-Group-EN"/>
        <s v="Sustainability-Report-2020-Armani-Group-EN"/>
        <s v="Sustainability-Report-2021-Armani-Group-EN-1"/>
        <s v="2022_Sustainability-Report_Armani-Group"/>
        <s v="2023_Sustainability-Report_Armani-Group"/>
        <s v="link"/>
        <s v="sustainability report 2020"/>
        <s v="SUSTAINABILITY REPORT 2021"/>
        <s v="SUSTAINABILITY REPORT 2022"/>
        <s v="Zegna Sustainability Report 2023"/>
        <s v="SUSTAINABILITY REPORT 2024"/>
        <s v="Sustainability reporting - H&amp;M Group"/>
        <s v="link (in French, not original source)"/>
        <s v="link (in French)"/>
        <s v="https://www.annualreports.com/Company/inditex"/>
        <s v="memoria-anual-2013.pdf"/>
        <s v="memoria-anual-2014.pdf"/>
        <s v="memoria-anual-2015.pdf"/>
        <s v="memoria-anual-2016.pdf"/>
        <s v="memoria-anual-2017.pdf"/>
        <s v="memoria-anual-2018.pdf"/>
        <s v="memoria-anual-2019.pdf"/>
        <s v="memoria-anual-2020.pdf"/>
        <s v="memoria-anual-2021.pdf"/>
        <s v="Estado de Información No Financiera 2021"/>
        <s v="memoria-anual-2022.pdf"/>
        <s v="memoria-anual-2023.pdf"/>
        <s v="Inditex New Sustainability Commitments.pdf"/>
        <s v="https://www.inditex.com/itxcomweb/api/media/d2407831-0359-41b2-ba3e-654383b27ffb/Cuentasanualeseinformedegestion2024consolidado.pdf?t=1742203269059"/>
        <s v="link (not original source)"/>
        <s v="https://www.sustainabilityreports.com/loreal/2006/sustainable-development-report"/>
        <m/>
        <s v="https://st.mngbcn.com/web/oi/servicios/rsc/pdf/ES/mem/mem2015.pdf"/>
        <s v="https://st.mngbcn.com/web/oi/servicios/rsc/pdf/ES/mem/mem2017.pdf"/>
        <s v="https://www.mangofashiongroup.com/impacto-medioambiental?p_p_id=com_liferay_portal_search_web_search_results_portlet_SearchResultsPortlet&amp;p_p_lifecycle=0&amp;p_p_state=maximized&amp;p_p_mode=view&amp;_com_liferay_portal_search_web_search_results_portlet_SearchResults"/>
        <s v="2020 CONSOLIDATED NON FINANCIAL STATEMENT"/>
        <s v="2021 CONSOLIDATED NON FINANCIAL STATEMENT"/>
        <s v="2022 CONSOLIDATED NON-FINANCIAL STATEMENT | Moncler Group"/>
        <s v="2023 CONSOLIDATED NON-FINANCIAL STATEMENT"/>
        <s v="2024 Annual Report"/>
        <s v="SUSTAINABILITY REPORT 2016"/>
        <s v="OVS Bilancio annuale 2017"/>
        <s v="OVS Annual Report"/>
        <s v="OVS Consolidated Non-financial Statement 2019"/>
        <s v="Sustainability Report 2023"/>
        <s v="OVS Annual Report 2024"/>
        <s v="2022 Prada Group's Sustainability Report"/>
        <s v="2023 Sustainability Report"/>
        <s v="Prada Group's Sustainability Report 2024"/>
        <s v="THE PRADA GROUP’S ANIMAL WELFARE POLICY"/>
        <s v="Restricted Substances List"/>
        <s v="Detox Commitment: Progress Report"/>
        <s v="Primark Chemical Management Programme: Statement on Progress and Roadmap 2015/2016"/>
        <s v="Primark Environmental Performance Report 2017"/>
        <s v="Primark Environmental Sustainability Performance Report 2018"/>
        <s v="Primark Environmental Sustainability Performance Report 2019"/>
        <s v="Primark Environmental Sustainability Performance Report 2020"/>
        <s v="Self regulation: A fashion fairytale"/>
        <s v="SCAP 2020 final report"/>
        <s v="Primark Sustainability and Ethics Progress Report 2022"/>
        <s v="Primark Sustainability and Ethics Progress Report 2023"/>
        <s v="Primark Cares Website"/>
        <s v="Primark Circular Product Standard"/>
        <s v="Primark Sustainability and Ethics Progress Report 2024"/>
        <s v="Primark Durability Framework 2024"/>
        <s v="ZDHC reports"/>
        <s v="Greenwash Danger Zone"/>
        <s v="Puma Sustainability Reports"/>
        <s v="2015 Sustainability Report"/>
        <s v="2016 Sustainability Report"/>
        <s v="2017 Sustainability Report"/>
        <s v="2018 Sustainability Report"/>
        <s v="2019 Sustainability Report"/>
        <s v="Annual report Ferragamo 2020"/>
        <s v="Annual report Ferragamo 2021"/>
        <s v="Annual report Ferragamo 2022"/>
        <s v="Annual report Ferragamo 2023"/>
        <s v="Annual report Ferragamo 2024"/>
        <s v="Financial reporting | Zalando Corporate"/>
        <s v="Sustainability Reports | Zalando Corporate"/>
      </sharedItems>
    </cacheField>
    <cacheField name="Status" numFmtId="0">
      <sharedItems>
        <s v="Checked, pledges found"/>
        <s v="Checked, no pledges found"/>
        <s v="Not checked"/>
      </sharedItems>
    </cacheField>
    <cacheField name="Notes" numFmtId="0">
      <sharedItems containsBlank="1">
        <m/>
        <s v="points to &quot;Social and Environmental report&quot;"/>
        <s v="data: manufacturing volume by product category in unit, # of factories and workers per country, of which audited"/>
        <s v="data: manufacturing volume by product category in unit, # of factories and workers per country, of which audited. &quot;Social and Environmental Affairs&quot; team is 33 people. &quot;We want to secure more sustainable cotton sources, but based on feedback from several "/>
        <s v="&quot;This report is a first insight into who we are and how we operate.&quot;"/>
        <s v="&quot;The reader of this report should see it as a first attempt to make H&amp;M’s commitment to sustainability understandable for a wide group of stakeholders. For the first time we publish our CSR vision and our objectives for the implementation of H&amp;M’s Code of"/>
        <s v="&quot;Together with this Annual Report we will publish, for the second year running, the group’s Sustainability Report, which will reflect the work carried out in the economic, social and environmental fields&quot;"/>
        <s v="*Same pledges as previous years"/>
        <s v="p 22: &quot;In 2003, L’Oréal further strengthened its commitment by appointing a Sustainable Development Director and by making its first Report on Sustainable Development available online&quot;"/>
        <s v="p. 35: &quot;For more information, please consult the group’s sustainable development report, or the Internet version on our Web site: www.loreal.com.&quot;"/>
        <s v="Annual report 2001: &quot;In 2001, the Group focused on communicating its environmental actions and initiatives. It published its first environmental report, “Naturally Creative”, which describes the policy and the concrete achievements of LVMH in this area.&quot;"/>
        <s v="in report 2013: &quot;This Sustainability Report, the Group’s tenth,...&quot;)"/>
        <s v="Annual report 2016, p. 43: &quot;To provide a transparent account of its sustainability performance, in 2016 the Company published a Sustainability Report, for the second consecutive year&quot;"/>
        <s v="only in ITA, no ENG report available"/>
        <s v="To add: Sustainability Report 2002: https://about.puma.com/sites/default/files/documents/pdf/pumanachhaltigkeitbericht2002-en.pdf&#10;Status: Checked, pledges found"/>
        <s v="https://about.puma.com/sites/default/files/documents/pdf/pumanachhaltigkeitsbericht2003-en-1.pdf"/>
        <s v="https://about.puma.com/sites/default/files/documents/pdf/pumanachhaltigkeitsbericht2004-en-1.pdf"/>
        <s v="Sustainability Report 2007/2008: https://about.puma.com/sites/default/files/documents/pdf/pumanachhaltigkeitbericht2007-8-1.pdf"/>
        <s v="Sustainability Report 2005/2006 : https://about.puma.com/sites/default/files/documents/pdf/pumanachhaltigkeitsbericht2005-6-en.pdf"/>
        <s v="Business and Sustainability Report 2010: https://about.puma.com/sites/default/files/documents/pdf/pumanachhaltigkeitsbericht2010-en.pdf"/>
        <s v="https://about.puma.com/sites/default/files/documents/pdf/pumageschaeftsbericht2012-en.pdf"/>
        <s v="https://about.puma.com/sites/default/files/documents/pdf/pumageschaeftsbericht2013-en.pdf"/>
        <s v="https://about.puma.com/sites/default/files/documents/pdf/puma-annual-report-2014.pdf"/>
        <s v="https://about.puma.com/sites/default/files/documents/pdf/gb-2015-eng-final-links-low-res.pdf"/>
        <s v="https://about.puma.com/sites/default/files/documents/pdf/pumagb2016-eng.pdf"/>
        <s v="It's a chapter of the Annual Report"/>
        <s v="https://annual-report.puma.com/2017/en/index.html"/>
        <s v="https://about.puma.com/sites/default/files/documents/pdf/en-puma-gb2018-all.pdf"/>
        <s v="https://about.puma.com/sites/default/files/documents/pdf/puma-ar-2019-annual-report.pdf"/>
        <s v="https://about.puma.com/sites/default/files/documents/pdf/puma-annual-report-2020.pdf"/>
        <s v="https://about.puma.com/sites/default/files/documents/pdf/puma-annual-report-2021.pdf"/>
        <s v="https://annual-report.puma.com/2022/en/index.html"/>
        <s v="https://annual-report.puma.com/2023/en/index.html"/>
        <s v="https://annual-report.puma.com/2024/en/index.html"/>
        <s v="https://about.puma.com/sites/default/files/documents/pdf/puma-voluntary-sustainability-report-2024.pdf"/>
        <s v="&quot;The reporting year marks the first time that we have developed a sustainability strategy&quot;"/>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Analysis 1 Pledges" cacheId="0" dataCaption="" compact="0" compactData="0">
  <location ref="A3:C8" firstHeaderRow="0" firstDataRow="2" firstDataCol="0"/>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t="default"/>
      </items>
    </pivotField>
    <pivotField name="Company" compact="0" outline="0" multipleItemSelectionAllowed="1" showAll="0">
      <items>
        <item x="0"/>
        <item x="1"/>
        <item x="2"/>
        <item x="3"/>
        <item x="4"/>
        <item x="5"/>
        <item x="6"/>
        <item x="7"/>
        <item x="8"/>
        <item x="9"/>
        <item x="10"/>
        <item x="11"/>
        <item x="12"/>
        <item x="13"/>
        <item x="14"/>
        <item x="15"/>
        <item x="16"/>
        <item t="default"/>
      </items>
    </pivotField>
    <pivotField name="pledge status" axis="axisRow" dataField="1" compact="0" outline="0" multipleItemSelectionAllowed="1" showAll="0" sortType="descending">
      <items>
        <item x="0"/>
        <item x="1"/>
        <item x="2"/>
        <item x="3"/>
        <item t="default"/>
      </items>
      <autoSortScope>
        <pivotArea>
          <references>
            <reference field="4294967294">
              <x v="0"/>
            </reference>
          </references>
        </pivotArea>
      </autoSortScope>
    </pivotField>
    <pivotField name="Company respon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specificity" compact="0" outline="0" multipleItemSelectionAllowed="1" showAll="0">
      <items>
        <item x="0"/>
        <item x="1"/>
        <item x="2"/>
        <item t="default"/>
      </items>
    </pivotField>
    <pivotField name="category" compact="0" outline="0" multipleItemSelectionAllowed="1" showAll="0">
      <items>
        <item x="0"/>
        <item x="1"/>
        <item x="2"/>
        <item x="3"/>
        <item x="4"/>
        <item x="5"/>
        <item x="6"/>
        <item x="7"/>
        <item x="8"/>
        <item x="9"/>
        <item x="10"/>
        <item x="11"/>
        <item t="default"/>
      </items>
    </pivotField>
    <pivotField name="subcategory" compact="0" outline="0" multipleItemSelectionAllowed="1" showAll="0">
      <items>
        <item x="0"/>
        <item x="1"/>
        <item x="2"/>
        <item x="3"/>
        <item x="4"/>
        <item x="5"/>
        <item x="6"/>
        <item x="7"/>
        <item x="8"/>
        <item x="9"/>
        <item t="default"/>
      </items>
    </pivotField>
    <pivotField name="pledge 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goal 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goal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t="default"/>
      </items>
    </pivotField>
    <pivotField name="goal 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goal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t="default"/>
      </items>
    </pivotField>
    <pivotField name="report 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goal sour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t="default"/>
      </items>
    </pivotField>
    <pivotField name="goal 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t="default"/>
      </items>
    </pivotField>
    <pivotField name="baseline 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baseline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baseline 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baseline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baseline sour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baseline 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target/current 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target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t="default"/>
      </items>
    </pivotField>
    <pivotField name="current 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t="default"/>
      </items>
    </pivotField>
    <pivotField name="target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name="target sour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target 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s>
  <rowFields>
    <field x="2"/>
  </rowFields>
  <colFields>
    <field x="-2"/>
  </colFields>
  <dataFields>
    <dataField name="absolute" fld="2" subtotal="count" baseField="0"/>
    <dataField name="share all" fld="2" subtotal="count" showDataAs="percentOfCol" baseField="0" numFmtId="10"/>
  </dataFields>
</pivotTableDefinition>
</file>

<file path=xl/pivotTables/pivotTable2.xml><?xml version="1.0" encoding="utf-8"?>
<pivotTableDefinition xmlns="http://schemas.openxmlformats.org/spreadsheetml/2006/main" name="Analysis 1 Pledges 2" cacheId="0" dataCaption="" compact="0" compactData="0">
  <location ref="I3:M22" firstHeaderRow="0" firstDataRow="1"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t="default"/>
      </items>
    </pivotField>
    <pivotField name="Company" axis="axisRow" compact="0" outline="0" multipleItemSelectionAllowed="1" showAll="0" sortType="ascending">
      <items>
        <item x="0"/>
        <item x="2"/>
        <item x="3"/>
        <item x="4"/>
        <item x="1"/>
        <item x="5"/>
        <item x="6"/>
        <item x="8"/>
        <item x="9"/>
        <item x="10"/>
        <item x="11"/>
        <item x="12"/>
        <item x="13"/>
        <item x="14"/>
        <item x="15"/>
        <item x="16"/>
        <item x="7"/>
        <item t="default"/>
      </items>
    </pivotField>
    <pivotField name="pledge status" dataField="1" compact="0" outline="0" multipleItemSelectionAllowed="1" showAll="0">
      <items>
        <item x="0"/>
        <item x="1"/>
        <item x="2"/>
        <item x="3"/>
        <item t="default"/>
      </items>
    </pivotField>
    <pivotField name="Company respon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specificity" axis="axisCol" compact="0" outline="0" multipleItemSelectionAllowed="1" showAll="0" sortType="ascending">
      <items>
        <item x="0"/>
        <item x="2"/>
        <item x="1"/>
        <item t="default"/>
      </items>
    </pivotField>
    <pivotField name="category" compact="0" outline="0" multipleItemSelectionAllowed="1" showAll="0">
      <items>
        <item x="0"/>
        <item x="1"/>
        <item x="2"/>
        <item x="3"/>
        <item x="4"/>
        <item x="5"/>
        <item x="6"/>
        <item x="7"/>
        <item x="8"/>
        <item x="9"/>
        <item x="10"/>
        <item x="11"/>
        <item t="default"/>
      </items>
    </pivotField>
    <pivotField name="subcategory" compact="0" outline="0" multipleItemSelectionAllowed="1" showAll="0">
      <items>
        <item x="0"/>
        <item x="1"/>
        <item x="2"/>
        <item x="3"/>
        <item x="4"/>
        <item x="5"/>
        <item x="6"/>
        <item x="7"/>
        <item x="8"/>
        <item x="9"/>
        <item t="default"/>
      </items>
    </pivotField>
    <pivotField name="pledge 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goal 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goal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t="default"/>
      </items>
    </pivotField>
    <pivotField name="goal 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goal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t="default"/>
      </items>
    </pivotField>
    <pivotField name="report 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goal sour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t="default"/>
      </items>
    </pivotField>
    <pivotField name="goal 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t="default"/>
      </items>
    </pivotField>
    <pivotField name="baseline 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baseline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baseline 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baseline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baseline sour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baseline 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target/current 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target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t="default"/>
      </items>
    </pivotField>
    <pivotField name="current 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t="default"/>
      </items>
    </pivotField>
    <pivotField name="target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name="target sour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target 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s>
  <rowFields>
    <field x="1"/>
  </rowFields>
  <colFields>
    <field x="4"/>
  </colFields>
  <dataFields>
    <dataField name="COUNTA of pledge status" fld="2" subtotal="count" baseField="0"/>
  </dataFields>
</pivotTableDefinition>
</file>

<file path=xl/pivotTables/pivotTable3.xml><?xml version="1.0" encoding="utf-8"?>
<pivotTableDefinition xmlns="http://schemas.openxmlformats.org/spreadsheetml/2006/main" name="Analysis 1 Pledges 3" cacheId="0" dataCaption="" compact="0" compactData="0">
  <location ref="A13:F32" firstHeaderRow="0" firstDataRow="1"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t="default"/>
      </items>
    </pivotField>
    <pivotField name="Company" axis="axisRow" compact="0" outline="0" multipleItemSelectionAllowed="1" showAll="0" sortType="descending">
      <items>
        <item x="0"/>
        <item x="1"/>
        <item x="2"/>
        <item x="3"/>
        <item x="4"/>
        <item x="5"/>
        <item x="6"/>
        <item x="7"/>
        <item x="8"/>
        <item x="9"/>
        <item x="10"/>
        <item x="11"/>
        <item x="12"/>
        <item x="13"/>
        <item x="14"/>
        <item x="15"/>
        <item x="16"/>
        <item t="default"/>
      </items>
      <autoSortScope>
        <pivotArea>
          <references>
            <reference field="4294967294">
              <x v="0"/>
            </reference>
          </references>
        </pivotArea>
      </autoSortScope>
    </pivotField>
    <pivotField name="pledge status" axis="axisCol" dataField="1" compact="0" outline="0" multipleItemSelectionAllowed="1" showAll="0" sortType="ascending">
      <items>
        <item x="0"/>
        <item x="1"/>
        <item x="3"/>
        <item x="2"/>
        <item t="default"/>
      </items>
    </pivotField>
    <pivotField name="Company respon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specificity" compact="0" outline="0" multipleItemSelectionAllowed="1" showAll="0">
      <items>
        <item x="0"/>
        <item x="1"/>
        <item x="2"/>
        <item t="default"/>
      </items>
    </pivotField>
    <pivotField name="category" compact="0" outline="0" multipleItemSelectionAllowed="1" showAll="0">
      <items>
        <item x="0"/>
        <item x="1"/>
        <item x="2"/>
        <item x="3"/>
        <item x="4"/>
        <item x="5"/>
        <item x="6"/>
        <item x="7"/>
        <item x="8"/>
        <item x="9"/>
        <item x="10"/>
        <item x="11"/>
        <item t="default"/>
      </items>
    </pivotField>
    <pivotField name="subcategory" compact="0" outline="0" multipleItemSelectionAllowed="1" showAll="0">
      <items>
        <item x="0"/>
        <item x="1"/>
        <item x="2"/>
        <item x="3"/>
        <item x="4"/>
        <item x="5"/>
        <item x="6"/>
        <item x="7"/>
        <item x="8"/>
        <item x="9"/>
        <item t="default"/>
      </items>
    </pivotField>
    <pivotField name="pledge 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goal 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goal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t="default"/>
      </items>
    </pivotField>
    <pivotField name="goal 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goal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t="default"/>
      </items>
    </pivotField>
    <pivotField name="report 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goal sour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t="default"/>
      </items>
    </pivotField>
    <pivotField name="goal 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t="default"/>
      </items>
    </pivotField>
    <pivotField name="baseline 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baseline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baseline 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baseline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baseline sour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baseline 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target/current 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target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t="default"/>
      </items>
    </pivotField>
    <pivotField name="current 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t="default"/>
      </items>
    </pivotField>
    <pivotField name="target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name="target sour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target 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s>
  <rowFields>
    <field x="1"/>
  </rowFields>
  <colFields>
    <field x="2"/>
  </colFields>
  <dataFields>
    <dataField name="COUNTA of pledge status" fld="2" subtotal="count" baseField="0"/>
  </dataFields>
</pivotTableDefinition>
</file>

<file path=xl/tables/table1.xml><?xml version="1.0" encoding="utf-8"?>
<table xmlns="http://schemas.openxmlformats.org/spreadsheetml/2006/main" ref="A3:R20" displayName="Companies" name="Companies" id="1">
  <autoFilter ref="$A$3:$R$20"/>
  <tableColumns count="18">
    <tableColumn name="Company" id="1"/>
    <tableColumn name="Country" id="2"/>
    <tableColumn name="Main sectors" id="3"/>
    <tableColumn name="Publicly listed?" id="4"/>
    <tableColumn name="Revenue" id="5"/>
    <tableColumn name="Revenue Year" id="6"/>
    <tableColumn name="Revenue Unit" id="7"/>
    <tableColumn name="Revenue Source" id="8"/>
    <tableColumn name="Employees" id="9"/>
    <tableColumn name="Employees Source" id="10"/>
    <tableColumn name="Retail volume" id="11"/>
    <tableColumn name="Retail volume year" id="12"/>
    <tableColumn name="Retail volume unit" id="13"/>
    <tableColumn name="Retail volume source" id="14"/>
    <tableColumn name="Company Website" id="15"/>
    <tableColumn name="Sustainability website" id="16"/>
    <tableColumn name="Shop Website" id="17"/>
    <tableColumn name="First sustainability report year" id="18"/>
  </tableColumns>
  <tableStyleInfo name="Companies-style" showColumnStripes="0" showFirstColumn="1" showLastColumn="1" showRowStripes="1"/>
</table>
</file>

<file path=xl/tables/table2.xml><?xml version="1.0" encoding="utf-8"?>
<table xmlns="http://schemas.openxmlformats.org/spreadsheetml/2006/main" ref="A3:AA471" displayName="Pledges" name="Pledges" id="2">
  <autoFilter ref="$A$3:$AA$471"/>
  <tableColumns count="27">
    <tableColumn name="ID" id="1"/>
    <tableColumn name="Company" id="2"/>
    <tableColumn name="pledge status" id="3"/>
    <tableColumn name="Company response" id="4"/>
    <tableColumn name="specificity" id="5"/>
    <tableColumn name="category" id="6"/>
    <tableColumn name="subcategory" id="7"/>
    <tableColumn name="pledge year" id="8"/>
    <tableColumn name="goal year" id="9"/>
    <tableColumn name="goal description" id="10"/>
    <tableColumn name="goal value" id="11"/>
    <tableColumn name="goal unit" id="12"/>
    <tableColumn name="report year" id="13"/>
    <tableColumn name="goal source" id="14"/>
    <tableColumn name="goal Notes" id="15"/>
    <tableColumn name="baseline year" id="16"/>
    <tableColumn name="baseline description" id="17"/>
    <tableColumn name="baseline value" id="18"/>
    <tableColumn name="baseline unit" id="19"/>
    <tableColumn name="baseline source" id="20"/>
    <tableColumn name="baseline Notes" id="21"/>
    <tableColumn name="target/current year" id="22"/>
    <tableColumn name="target description" id="23"/>
    <tableColumn name="current value" id="24"/>
    <tableColumn name="target unit" id="25"/>
    <tableColumn name="target source" id="26"/>
    <tableColumn name="target Notes" id="27"/>
  </tableColumns>
  <tableStyleInfo name="Pledges-style" showColumnStripes="0" showFirstColumn="1" showLastColumn="1" showRowStripes="1"/>
</table>
</file>

<file path=xl/tables/table3.xml><?xml version="1.0" encoding="utf-8"?>
<table xmlns="http://schemas.openxmlformats.org/spreadsheetml/2006/main" ref="A3:F295" displayName="Documents" name="Documents" id="3">
  <autoFilter ref="$A$3:$F$295"/>
  <tableColumns count="6">
    <tableColumn name="Company name" id="1"/>
    <tableColumn name="Document type" id="2"/>
    <tableColumn name="Year" id="3"/>
    <tableColumn name="Link" id="4"/>
    <tableColumn name="Status" id="5"/>
    <tableColumn name="Notes" id="6"/>
  </tableColumns>
  <tableStyleInfo name="Documents-style" showColumnStripes="0" showFirstColumn="1" showLastColumn="1" showRowStripes="1"/>
</table>
</file>

<file path=xl/tables/table4.xml><?xml version="1.0" encoding="utf-8"?>
<table xmlns="http://schemas.openxmlformats.org/spreadsheetml/2006/main" ref="A4:E260" displayName="Timeline_analysis" name="Timeline_analysis" id="4">
  <autoFilter ref="$A$4:$E$260"/>
  <tableColumns count="5">
    <tableColumn name="Company" id="1"/>
    <tableColumn name="Year" id="2"/>
    <tableColumn name="report status" id="3"/>
    <tableColumn name="# of pledges" id="4"/>
    <tableColumn name="First sustainability report" id="5"/>
  </tableColumns>
  <tableStyleInfo name="Analysis 2 Timeline-style" showColumnStripes="0" showFirstColumn="1" showLastColumn="1" showRowStripes="1"/>
</table>
</file>

<file path=xl/tables/table5.xml><?xml version="1.0" encoding="utf-8"?>
<table xmlns="http://schemas.openxmlformats.org/spreadsheetml/2006/main" ref="A2:K33" displayName="Cotton" name="Cotton" id="5">
  <autoFilter ref="$A$2:$K$33"/>
  <tableColumns count="11">
    <tableColumn name="pledge ID" id="1"/>
    <tableColumn name="relates to whole range" id="2"/>
    <tableColumn name="Company" id="3"/>
    <tableColumn name="status" id="4"/>
    <tableColumn name="pledge year" id="5"/>
    <tableColumn name="target year" id="6"/>
    <tableColumn name="actual (in target year)" id="7"/>
    <tableColumn name="target" id="8"/>
    <tableColumn name="starting" id="9"/>
    <tableColumn name="unit" id="10"/>
    <tableColumn name="target description" id="11"/>
  </tableColumns>
  <tableStyleInfo name="Analysis 3 Materials-style" showColumnStripes="0" showFirstColumn="1" showLastColumn="1" showRowStripes="1"/>
</table>
</file>

<file path=xl/tables/table6.xml><?xml version="1.0" encoding="utf-8"?>
<table xmlns="http://schemas.openxmlformats.org/spreadsheetml/2006/main" ref="M2:T13" displayName="Leather" name="Leather" id="6">
  <tableColumns count="8">
    <tableColumn name="pledge ID" id="1"/>
    <tableColumn name="Company" id="2"/>
    <tableColumn name="pledge year" id="3"/>
    <tableColumn name="target year" id="4"/>
    <tableColumn name="starting %" id="5"/>
    <tableColumn name="actual % (in target year)" id="6"/>
    <tableColumn name="target %" id="7"/>
    <tableColumn name="target description" id="8"/>
  </tableColumns>
  <tableStyleInfo name="Analysis 3 Material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dw-data/sustainable-fashio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moncler.com/" TargetMode="External"/><Relationship Id="rId42" Type="http://schemas.openxmlformats.org/officeDocument/2006/relationships/hyperlink" Target="https://www.moncler.com/en-bg/genius/collections/moncler-x-asap-rocky" TargetMode="External"/><Relationship Id="rId41" Type="http://schemas.openxmlformats.org/officeDocument/2006/relationships/hyperlink" Target="https://www.monclergroup.com/en" TargetMode="External"/><Relationship Id="rId44" Type="http://schemas.openxmlformats.org/officeDocument/2006/relationships/hyperlink" Target="https://www.ovscorporate.it/sites/default/files/documents/2025-07/ovs_annual_report_2024_eng_def.pdf" TargetMode="External"/><Relationship Id="rId43" Type="http://schemas.openxmlformats.org/officeDocument/2006/relationships/hyperlink" Target="https://www.ovscorporate.it/sites/default/files/documents/2025-07/ovs_annual_report_2024_eng_def.pdf" TargetMode="External"/><Relationship Id="rId46" Type="http://schemas.openxmlformats.org/officeDocument/2006/relationships/hyperlink" Target="https://www.ovscorporate.it/sostenibilita/il-nostro-percorso" TargetMode="External"/><Relationship Id="rId45" Type="http://schemas.openxmlformats.org/officeDocument/2006/relationships/hyperlink" Target="https://www.ovscorporate.it/" TargetMode="External"/><Relationship Id="rId1" Type="http://schemas.openxmlformats.org/officeDocument/2006/relationships/hyperlink" Target="https://report.adidas-group.com/2024/en/group-management-report-sustainability-statement/esrs-e5-resource-use-and-circular-economy/metrics-and-targets.html" TargetMode="External"/><Relationship Id="rId2" Type="http://schemas.openxmlformats.org/officeDocument/2006/relationships/hyperlink" Target="https://www.adidas-group.com/en/" TargetMode="External"/><Relationship Id="rId3" Type="http://schemas.openxmlformats.org/officeDocument/2006/relationships/hyperlink" Target="https://www.adidas.de/go/campaign/impact/planet" TargetMode="External"/><Relationship Id="rId4" Type="http://schemas.openxmlformats.org/officeDocument/2006/relationships/hyperlink" Target="https://www.adidas.de/" TargetMode="External"/><Relationship Id="rId9" Type="http://schemas.openxmlformats.org/officeDocument/2006/relationships/hyperlink" Target="https://www.chanel.com/puls-img/1747810519727-20250520fy24resultspressreleasefinalwwpdf.pdf" TargetMode="External"/><Relationship Id="rId48" Type="http://schemas.openxmlformats.org/officeDocument/2006/relationships/hyperlink" Target="https://www.pradagroup.com/content/dam/pradagroup/documents/Shareholderinformation/2025/E_2024%20Annual%20Report.pdf" TargetMode="External"/><Relationship Id="rId47" Type="http://schemas.openxmlformats.org/officeDocument/2006/relationships/hyperlink" Target="https://www.ovs.it/" TargetMode="External"/><Relationship Id="rId49" Type="http://schemas.openxmlformats.org/officeDocument/2006/relationships/hyperlink" Target="https://www.pradagroup.com/content/dam/pradagroup/documents/Shareholderinformation/2025/E_2024%20Annual%20Report.pdf" TargetMode="External"/><Relationship Id="rId5" Type="http://schemas.openxmlformats.org/officeDocument/2006/relationships/hyperlink" Target="https://www.ilpost.it/2025/09/05/aziende-giorgio-armani-successione-affari/" TargetMode="External"/><Relationship Id="rId6" Type="http://schemas.openxmlformats.org/officeDocument/2006/relationships/hyperlink" Target="https://ddf95m9s3iunr.cloudfront.net/wp-content/uploads/2025/03/SUMMARY_2023-Sustainability-Report_Armani-Group.pdf?utm_source=chatgpt.com" TargetMode="External"/><Relationship Id="rId7" Type="http://schemas.openxmlformats.org/officeDocument/2006/relationships/hyperlink" Target="https://www.armani.com/" TargetMode="External"/><Relationship Id="rId8" Type="http://schemas.openxmlformats.org/officeDocument/2006/relationships/hyperlink" Target="https://armanivalues.com/" TargetMode="External"/><Relationship Id="rId73" Type="http://schemas.openxmlformats.org/officeDocument/2006/relationships/table" Target="../tables/table1.xml"/><Relationship Id="rId31" Type="http://schemas.openxmlformats.org/officeDocument/2006/relationships/hyperlink" Target="https://www.loreal-finance.com/system/files/2025-03/Document_denregistrement_universel_2024_LOREAL.pdf" TargetMode="External"/><Relationship Id="rId30" Type="http://schemas.openxmlformats.org/officeDocument/2006/relationships/hyperlink" Target="https://www.loreal-finance.com/system/files/2025-03/Document_denregistrement_universel_2024_LOREAL.pdf" TargetMode="External"/><Relationship Id="rId33" Type="http://schemas.openxmlformats.org/officeDocument/2006/relationships/hyperlink" Target="https://www.loreal.com/en/commitments-and-responsibilities/for-the-planet/" TargetMode="External"/><Relationship Id="rId32" Type="http://schemas.openxmlformats.org/officeDocument/2006/relationships/hyperlink" Target="https://www.loreal.com/fr/" TargetMode="External"/><Relationship Id="rId35" Type="http://schemas.openxmlformats.org/officeDocument/2006/relationships/hyperlink" Target="https://www.lvmh.com/en/financial-calendar/2024-full-year-results" TargetMode="External"/><Relationship Id="rId34" Type="http://schemas.openxmlformats.org/officeDocument/2006/relationships/hyperlink" Target="https://www.lvmh.com/en/financial-calendar/2024-full-year-results" TargetMode="External"/><Relationship Id="rId71" Type="http://schemas.openxmlformats.org/officeDocument/2006/relationships/drawing" Target="../drawings/drawing2.xml"/><Relationship Id="rId70" Type="http://schemas.openxmlformats.org/officeDocument/2006/relationships/hyperlink" Target="https://www.primark.com/de-de" TargetMode="External"/><Relationship Id="rId37" Type="http://schemas.openxmlformats.org/officeDocument/2006/relationships/hyperlink" Target="https://www.lvmh.com/en/commitment-in-action/for-the-environment" TargetMode="External"/><Relationship Id="rId36" Type="http://schemas.openxmlformats.org/officeDocument/2006/relationships/hyperlink" Target="https://www.lvmh.com/fr" TargetMode="External"/><Relationship Id="rId39" Type="http://schemas.openxmlformats.org/officeDocument/2006/relationships/hyperlink" Target="https://www.monclergroup.com/en/sustainability/nurture-uniqueness/employees-in-numbers?utm_source=chatgpt.com" TargetMode="External"/><Relationship Id="rId38" Type="http://schemas.openxmlformats.org/officeDocument/2006/relationships/hyperlink" Target="https://www.monclergroup.com/wp-content/uploads/2025/04/moncler-group-annual-report-2024.pdf" TargetMode="External"/><Relationship Id="rId62" Type="http://schemas.openxmlformats.org/officeDocument/2006/relationships/hyperlink" Target="https://companiesmarketcap.com/zalando/revenue/" TargetMode="External"/><Relationship Id="rId61" Type="http://schemas.openxmlformats.org/officeDocument/2006/relationships/hyperlink" Target="https://www.ferragamo.com/" TargetMode="External"/><Relationship Id="rId20" Type="http://schemas.openxmlformats.org/officeDocument/2006/relationships/hyperlink" Target="https://hmgroup.com/sustainability/" TargetMode="External"/><Relationship Id="rId64" Type="http://schemas.openxmlformats.org/officeDocument/2006/relationships/hyperlink" Target="https://corporate.zalando.com/en/sustainability" TargetMode="External"/><Relationship Id="rId63" Type="http://schemas.openxmlformats.org/officeDocument/2006/relationships/hyperlink" Target="https://corporate.zalando.com/en" TargetMode="External"/><Relationship Id="rId22" Type="http://schemas.openxmlformats.org/officeDocument/2006/relationships/hyperlink" Target="https://www.hermes.com/be/fr/" TargetMode="External"/><Relationship Id="rId66" Type="http://schemas.openxmlformats.org/officeDocument/2006/relationships/hyperlink" Target="https://www.abf.co.uk/content/dam/abf/corporate/ar-assets-2024/pdfs/abf-annual-report-2024.pdf.downloadasset.pdf" TargetMode="External"/><Relationship Id="rId21" Type="http://schemas.openxmlformats.org/officeDocument/2006/relationships/hyperlink" Target="https://www2.hm.com/de_de/index.html" TargetMode="External"/><Relationship Id="rId65" Type="http://schemas.openxmlformats.org/officeDocument/2006/relationships/hyperlink" Target="https://web.archive.org/web/20201021220334/https://corporate.zalando.com/en/sustainability" TargetMode="External"/><Relationship Id="rId24" Type="http://schemas.openxmlformats.org/officeDocument/2006/relationships/hyperlink" Target="https://www.hermes.com/be/fr/" TargetMode="External"/><Relationship Id="rId68" Type="http://schemas.openxmlformats.org/officeDocument/2006/relationships/hyperlink" Target="https://corporate.primark.com/en-ie" TargetMode="External"/><Relationship Id="rId23" Type="http://schemas.openxmlformats.org/officeDocument/2006/relationships/hyperlink" Target="https://finance.hermes.com/en/a-value-creating-and-sustainable-french-model/" TargetMode="External"/><Relationship Id="rId67" Type="http://schemas.openxmlformats.org/officeDocument/2006/relationships/hyperlink" Target="https://www.abf.co.uk/content/dam/abf/corporate/ar-assets-2024/pdfs/abf-annual-report-2024.pdf.downloadasset.pdf" TargetMode="External"/><Relationship Id="rId60" Type="http://schemas.openxmlformats.org/officeDocument/2006/relationships/hyperlink" Target="https://sustainability.ferragamo.com/it" TargetMode="External"/><Relationship Id="rId26" Type="http://schemas.openxmlformats.org/officeDocument/2006/relationships/hyperlink" Target="https://www.inditex.com/itxcomweb/api/media/d2407831-0359-41b2-ba3e-654383b27ffb/Cuentasanualeseinformedegestion2024consolidado.pdf?t=1742203269059" TargetMode="External"/><Relationship Id="rId25" Type="http://schemas.openxmlformats.org/officeDocument/2006/relationships/hyperlink" Target="https://companiesmarketcap.com/inditex/revenue/" TargetMode="External"/><Relationship Id="rId69" Type="http://schemas.openxmlformats.org/officeDocument/2006/relationships/hyperlink" Target="https://corporate.primark.com/en-gb/a/primark-cares/our-approach/protecting-our-planet" TargetMode="External"/><Relationship Id="rId28" Type="http://schemas.openxmlformats.org/officeDocument/2006/relationships/hyperlink" Target="https://www.inditex.com/itxcomweb/es/en/sustainability" TargetMode="External"/><Relationship Id="rId27" Type="http://schemas.openxmlformats.org/officeDocument/2006/relationships/hyperlink" Target="https://www.inditex.com/itxcomweb/es/en/home" TargetMode="External"/><Relationship Id="rId29" Type="http://schemas.openxmlformats.org/officeDocument/2006/relationships/hyperlink" Target="https://www.zara.com/es/" TargetMode="External"/><Relationship Id="rId51" Type="http://schemas.openxmlformats.org/officeDocument/2006/relationships/hyperlink" Target="https://www.pradagroup.com/en/sustainability/prada-impact/impact.html" TargetMode="External"/><Relationship Id="rId50" Type="http://schemas.openxmlformats.org/officeDocument/2006/relationships/hyperlink" Target="https://www.pradagroup.com/" TargetMode="External"/><Relationship Id="rId53" Type="http://schemas.openxmlformats.org/officeDocument/2006/relationships/hyperlink" Target="https://www.sustainabilityreports.com/prada" TargetMode="External"/><Relationship Id="rId52" Type="http://schemas.openxmlformats.org/officeDocument/2006/relationships/hyperlink" Target="https://www.prada.com/" TargetMode="External"/><Relationship Id="rId11" Type="http://schemas.openxmlformats.org/officeDocument/2006/relationships/hyperlink" Target="https://www.chanel.com" TargetMode="External"/><Relationship Id="rId55" Type="http://schemas.openxmlformats.org/officeDocument/2006/relationships/hyperlink" Target="https://about.puma.com/en/sustainability" TargetMode="External"/><Relationship Id="rId10" Type="http://schemas.openxmlformats.org/officeDocument/2006/relationships/hyperlink" Target="https://www.chanel.com/puls-img/1747810519727-20250520fy24resultspressreleasefinalwwpdf.pdf" TargetMode="External"/><Relationship Id="rId54" Type="http://schemas.openxmlformats.org/officeDocument/2006/relationships/hyperlink" Target="https://about.puma.com/en" TargetMode="External"/><Relationship Id="rId13" Type="http://schemas.openxmlformats.org/officeDocument/2006/relationships/hyperlink" Target="https://www.chanel.com" TargetMode="External"/><Relationship Id="rId57" Type="http://schemas.openxmlformats.org/officeDocument/2006/relationships/hyperlink" Target="https://group.ferragamo.com/resource/blob/1078112/5f991c2f24acb39e18c5c39279010b8c/annualreport2024-data.pdf" TargetMode="External"/><Relationship Id="rId12" Type="http://schemas.openxmlformats.org/officeDocument/2006/relationships/hyperlink" Target="https://www.chanel.com/gb/sustainability/" TargetMode="External"/><Relationship Id="rId56" Type="http://schemas.openxmlformats.org/officeDocument/2006/relationships/hyperlink" Target="https://eu.puma.com/be/fr/home" TargetMode="External"/><Relationship Id="rId15" Type="http://schemas.openxmlformats.org/officeDocument/2006/relationships/hyperlink" Target="https://s29.q4cdn.com/118983938/files/doc_presentations/2025/2025-03-27-FY-2024-results.pdf" TargetMode="External"/><Relationship Id="rId59" Type="http://schemas.openxmlformats.org/officeDocument/2006/relationships/hyperlink" Target="https://group.ferragamo.com/it" TargetMode="External"/><Relationship Id="rId14" Type="http://schemas.openxmlformats.org/officeDocument/2006/relationships/hyperlink" Target="https://s29.q4cdn.com/118983938/files/doc_presentations/2025/2025-03-27-FY-2024-results.pdf" TargetMode="External"/><Relationship Id="rId58" Type="http://schemas.openxmlformats.org/officeDocument/2006/relationships/hyperlink" Target="https://sustainability.ferragamo.com/resource/blob/1036188/46223522044d6167a3897d3f187263b1/ferragamo-annual-report-2024-doppie-eng-data.pdf?UNDEFINED" TargetMode="External"/><Relationship Id="rId17" Type="http://schemas.openxmlformats.org/officeDocument/2006/relationships/hyperlink" Target="https://www.zegnagroup.com/" TargetMode="External"/><Relationship Id="rId16" Type="http://schemas.openxmlformats.org/officeDocument/2006/relationships/hyperlink" Target="https://www.zegnagroup.com/" TargetMode="External"/><Relationship Id="rId19" Type="http://schemas.openxmlformats.org/officeDocument/2006/relationships/hyperlink" Target="https://hmgroup.com/" TargetMode="External"/><Relationship Id="rId18" Type="http://schemas.openxmlformats.org/officeDocument/2006/relationships/hyperlink" Target="https://www.zegna.com/"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report.adidas-group.com/2024/en/services/downloads.html" TargetMode="External"/><Relationship Id="rId190" Type="http://schemas.openxmlformats.org/officeDocument/2006/relationships/hyperlink" Target="https://www.monclergroup.com/wp-content/uploads/2023/06/Consolidated-Non-Financial-Statement-2022.pdf" TargetMode="External"/><Relationship Id="rId42" Type="http://schemas.openxmlformats.org/officeDocument/2006/relationships/hyperlink" Target="https://report.adidas-group.com/2024/en/services/downloads.html" TargetMode="External"/><Relationship Id="rId41" Type="http://schemas.openxmlformats.org/officeDocument/2006/relationships/hyperlink" Target="https://report.adidas-group.com/2024/en/services/downloads.html" TargetMode="External"/><Relationship Id="rId44" Type="http://schemas.openxmlformats.org/officeDocument/2006/relationships/hyperlink" Target="https://report.adidas-group.com/2024/en/services/downloads.html" TargetMode="External"/><Relationship Id="rId194" Type="http://schemas.openxmlformats.org/officeDocument/2006/relationships/hyperlink" Target="https://www.monclergroup.com/wp-content/uploads/2025/04/moncler-group-annual-report-2024.pdf" TargetMode="External"/><Relationship Id="rId43" Type="http://schemas.openxmlformats.org/officeDocument/2006/relationships/hyperlink" Target="https://report.adidas-group.com/2024/en/services/downloads.html" TargetMode="External"/><Relationship Id="rId193" Type="http://schemas.openxmlformats.org/officeDocument/2006/relationships/hyperlink" Target="https://www.monclergroup.com/wp-content/uploads/2024/05/2023-Consolidated-non-Financial-Statement.pdf" TargetMode="External"/><Relationship Id="rId46" Type="http://schemas.openxmlformats.org/officeDocument/2006/relationships/hyperlink" Target="https://report.adidas-group.com/2024/en/services/downloads.html" TargetMode="External"/><Relationship Id="rId192" Type="http://schemas.openxmlformats.org/officeDocument/2006/relationships/hyperlink" Target="https://www.monclergroup.com/wp-content/uploads/2023/06/Consolidated-Non-Financial-Statement-2022.pdf" TargetMode="External"/><Relationship Id="rId45" Type="http://schemas.openxmlformats.org/officeDocument/2006/relationships/hyperlink" Target="https://report.adidas-group.com/2024/en/services/downloads.html" TargetMode="External"/><Relationship Id="rId191" Type="http://schemas.openxmlformats.org/officeDocument/2006/relationships/hyperlink" Target="https://www.monclergroup.com/wp-content/uploads/2025/04/moncler-group-annual-report-2024.pdf" TargetMode="External"/><Relationship Id="rId48" Type="http://schemas.openxmlformats.org/officeDocument/2006/relationships/hyperlink" Target="https://armanivalues.com/wp-content/uploads/2022/01/Sustainability-Report-2019-Armani-Group-EN.pdf" TargetMode="External"/><Relationship Id="rId187" Type="http://schemas.openxmlformats.org/officeDocument/2006/relationships/hyperlink" Target="https://www.monclergroup.com/wp-content/uploads/2024/05/2023-Consolidated-non-Financial-Statement.pdf" TargetMode="External"/><Relationship Id="rId47" Type="http://schemas.openxmlformats.org/officeDocument/2006/relationships/hyperlink" Target="https://armanivalues.com/wp-content/uploads/2022/01/Sustainability-Report-2019-Armani-Group-EN.pdf" TargetMode="External"/><Relationship Id="rId186" Type="http://schemas.openxmlformats.org/officeDocument/2006/relationships/hyperlink" Target="https://www.monclergroup.com/wp-content/uploads/2023/06/Consolidated-Non-Financial-Statement-2022.pdf" TargetMode="External"/><Relationship Id="rId185" Type="http://schemas.openxmlformats.org/officeDocument/2006/relationships/hyperlink" Target="https://www.monclergroup.com/wp-content/uploads/2025/04/moncler-group-annual-report-2024.pdf" TargetMode="External"/><Relationship Id="rId49" Type="http://schemas.openxmlformats.org/officeDocument/2006/relationships/hyperlink" Target="https://armanivalues.com/wp-content/uploads/2022/01/Sustainability-Report-2019-Armani-Group-EN.pdf" TargetMode="External"/><Relationship Id="rId184" Type="http://schemas.openxmlformats.org/officeDocument/2006/relationships/hyperlink" Target="https://www.monclergroup.com/wp-content/uploads/2023/06/Consolidated-Non-Financial-Statement-2022.pdf" TargetMode="External"/><Relationship Id="rId189" Type="http://schemas.openxmlformats.org/officeDocument/2006/relationships/hyperlink" Target="https://www.monclergroup.com/wp-content/uploads/2023/06/Consolidated-Non-Financial-Statement-2022.pdf" TargetMode="External"/><Relationship Id="rId188" Type="http://schemas.openxmlformats.org/officeDocument/2006/relationships/hyperlink" Target="https://www.monclergroup.com/wp-content/uploads/2025/04/moncler-group-annual-report-2024.pdf" TargetMode="External"/><Relationship Id="rId31" Type="http://schemas.openxmlformats.org/officeDocument/2006/relationships/hyperlink" Target="https://report.adidas-group.com/2024/en/services/downloads.html" TargetMode="External"/><Relationship Id="rId30" Type="http://schemas.openxmlformats.org/officeDocument/2006/relationships/hyperlink" Target="https://report.adidas-group.com/2024/en/services/downloads.html" TargetMode="External"/><Relationship Id="rId33" Type="http://schemas.openxmlformats.org/officeDocument/2006/relationships/hyperlink" Target="https://report.adidas-group.com/2024/en/services/downloads.html" TargetMode="External"/><Relationship Id="rId183" Type="http://schemas.openxmlformats.org/officeDocument/2006/relationships/hyperlink" Target="https://www.monclergroup.com/wp-content/uploads/2023/06/Consolidated-Non-Financial-Statement-2022.pdf" TargetMode="External"/><Relationship Id="rId32" Type="http://schemas.openxmlformats.org/officeDocument/2006/relationships/hyperlink" Target="https://report.adidas-group.com/2024/en/services/downloads.html" TargetMode="External"/><Relationship Id="rId182" Type="http://schemas.openxmlformats.org/officeDocument/2006/relationships/hyperlink" Target="https://www.monclergroup.com/wp-content/uploads/2025/04/moncler-group-annual-report-2024.pdf" TargetMode="External"/><Relationship Id="rId35" Type="http://schemas.openxmlformats.org/officeDocument/2006/relationships/hyperlink" Target="https://report.adidas-group.com/2024/en/services/downloads.html" TargetMode="External"/><Relationship Id="rId181" Type="http://schemas.openxmlformats.org/officeDocument/2006/relationships/hyperlink" Target="https://www.monclergroup.com/wp-content/uploads/2023/06/Consolidated-Non-Financial-Statement-2022.pdf" TargetMode="External"/><Relationship Id="rId34" Type="http://schemas.openxmlformats.org/officeDocument/2006/relationships/hyperlink" Target="https://report.adidas-group.com/2024/en/services/downloads.html" TargetMode="External"/><Relationship Id="rId180" Type="http://schemas.openxmlformats.org/officeDocument/2006/relationships/hyperlink" Target="https://www.monclergroup.com/wp-content/uploads/2023/06/Consolidated-Non-Financial-Statement-2022.pdf" TargetMode="External"/><Relationship Id="rId37" Type="http://schemas.openxmlformats.org/officeDocument/2006/relationships/hyperlink" Target="https://report.adidas-group.com/2024/en/services/downloads.html" TargetMode="External"/><Relationship Id="rId176" Type="http://schemas.openxmlformats.org/officeDocument/2006/relationships/hyperlink" Target="https://www.monclergroup.com/wp-content/uploads/2025/04/moncler-group-annual-report-2024.pdf" TargetMode="External"/><Relationship Id="rId297" Type="http://schemas.openxmlformats.org/officeDocument/2006/relationships/hyperlink" Target="https://www.pradagroup.com/content/dam/pradagroup/documents/Responsabilita_sociale/2025/Report-CSR-2024/E_2024%20Sustainability%20Report.pdf" TargetMode="External"/><Relationship Id="rId36" Type="http://schemas.openxmlformats.org/officeDocument/2006/relationships/hyperlink" Target="https://report.adidas-group.com/2024/en/services/downloads.html" TargetMode="External"/><Relationship Id="rId175" Type="http://schemas.openxmlformats.org/officeDocument/2006/relationships/hyperlink" Target="https://www.monclergroup.com/wp-content/uploads/2022/04/Consolidated-Non-Financial-Statement-2021-1.pdf" TargetMode="External"/><Relationship Id="rId296" Type="http://schemas.openxmlformats.org/officeDocument/2006/relationships/hyperlink" Target="https://www.pradagroup.com/content/dam/pradagroup/documents/Responsabilita_sociale/2025/Report-CSR-2024/E_2024%20Sustainability%20Report.pdf" TargetMode="External"/><Relationship Id="rId39" Type="http://schemas.openxmlformats.org/officeDocument/2006/relationships/hyperlink" Target="https://report.adidas-group.com/2024/en/services/downloads.html" TargetMode="External"/><Relationship Id="rId174" Type="http://schemas.openxmlformats.org/officeDocument/2006/relationships/hyperlink" Target="https://www.monclergroup.com/wp-content/uploads/2022/04/Consolidated-Non-Financial-Statement-2021-1.pdf" TargetMode="External"/><Relationship Id="rId295" Type="http://schemas.openxmlformats.org/officeDocument/2006/relationships/hyperlink" Target="https://www.pradagroup.com/content/dam/pradagroup/documents/Responsabilita_sociale/2024/Report-CSR-2023/e-Prada_Group_2023_Sustainability_Report.pdf" TargetMode="External"/><Relationship Id="rId38" Type="http://schemas.openxmlformats.org/officeDocument/2006/relationships/hyperlink" Target="https://report.adidas-group.com/2024/en/services/downloads.html" TargetMode="External"/><Relationship Id="rId173" Type="http://schemas.openxmlformats.org/officeDocument/2006/relationships/hyperlink" Target="https://www.monclergroup.com/wp-content/uploads/2025/04/moncler-group-annual-report-2024.pdf" TargetMode="External"/><Relationship Id="rId294" Type="http://schemas.openxmlformats.org/officeDocument/2006/relationships/hyperlink" Target="https://www.pradagroup.com/content/dam/pradagroup/documents/Responsabilita_sociale/2024/Report-CSR-2023/e-Prada_Group_2023_Sustainability_Report.pdf" TargetMode="External"/><Relationship Id="rId179" Type="http://schemas.openxmlformats.org/officeDocument/2006/relationships/hyperlink" Target="https://www.monclergroup.com/wp-content/uploads/2025/04/moncler-group-annual-report-2024.pdf" TargetMode="External"/><Relationship Id="rId178" Type="http://schemas.openxmlformats.org/officeDocument/2006/relationships/hyperlink" Target="https://www.monclergroup.com/wp-content/uploads/2023/06/Consolidated-Non-Financial-Statement-2022.pdf" TargetMode="External"/><Relationship Id="rId299" Type="http://schemas.openxmlformats.org/officeDocument/2006/relationships/hyperlink" Target="https://www.pradagroup.com/content/dam/pradagroup/documents/Responsabilita_sociale/2024/Report-CSR-2023/e-Prada_Group_2023_Sustainability_Report.pdf" TargetMode="External"/><Relationship Id="rId177" Type="http://schemas.openxmlformats.org/officeDocument/2006/relationships/hyperlink" Target="https://www.monclergroup.com/wp-content/uploads/2023/06/Consolidated-Non-Financial-Statement-2022.pdf" TargetMode="External"/><Relationship Id="rId298" Type="http://schemas.openxmlformats.org/officeDocument/2006/relationships/hyperlink" Target="https://www.pradagroup.com/content/dam/pradagroup/documents/Responsabilita_sociale/2024/Report-CSR-2023/e-Prada_Group_2023_Sustainability_Report.pdf" TargetMode="External"/><Relationship Id="rId20" Type="http://schemas.openxmlformats.org/officeDocument/2006/relationships/hyperlink" Target="https://report.adidas-group.com/2024/en/services/downloads.html" TargetMode="External"/><Relationship Id="rId22" Type="http://schemas.openxmlformats.org/officeDocument/2006/relationships/hyperlink" Target="https://report.adidas-group.com/2024/en/services/downloads.html" TargetMode="External"/><Relationship Id="rId21" Type="http://schemas.openxmlformats.org/officeDocument/2006/relationships/hyperlink" Target="https://report.adidas-group.com/2024/en/services/downloads.html" TargetMode="External"/><Relationship Id="rId24" Type="http://schemas.openxmlformats.org/officeDocument/2006/relationships/hyperlink" Target="https://report.adidas-group.com/2024/en/services/downloads.html" TargetMode="External"/><Relationship Id="rId23" Type="http://schemas.openxmlformats.org/officeDocument/2006/relationships/hyperlink" Target="https://report.adidas-group.com/2024/en/services/downloads.html" TargetMode="External"/><Relationship Id="rId26" Type="http://schemas.openxmlformats.org/officeDocument/2006/relationships/hyperlink" Target="https://report.adidas-group.com/2024/en/services/downloads.html" TargetMode="External"/><Relationship Id="rId25" Type="http://schemas.openxmlformats.org/officeDocument/2006/relationships/hyperlink" Target="https://report.adidas-group.com/2024/en/services/downloads.html" TargetMode="External"/><Relationship Id="rId28" Type="http://schemas.openxmlformats.org/officeDocument/2006/relationships/hyperlink" Target="https://report.adidas-group.com/2024/en/services/downloads.html" TargetMode="External"/><Relationship Id="rId27" Type="http://schemas.openxmlformats.org/officeDocument/2006/relationships/hyperlink" Target="https://report.adidas-group.com/2024/en/services/downloads.html" TargetMode="External"/><Relationship Id="rId29" Type="http://schemas.openxmlformats.org/officeDocument/2006/relationships/hyperlink" Target="https://report.adidas-group.com/2024/en/services/downloads.html" TargetMode="External"/><Relationship Id="rId11" Type="http://schemas.openxmlformats.org/officeDocument/2006/relationships/hyperlink" Target="https://www.adidas-group.com/en/investors/financial-reports?tag=2015" TargetMode="External"/><Relationship Id="rId10" Type="http://schemas.openxmlformats.org/officeDocument/2006/relationships/hyperlink" Target="https://web.archive.org/web/20101201014824/http://www.adidas-group.com/en/sustainability/Environment/green_company/default.aspx" TargetMode="External"/><Relationship Id="rId13" Type="http://schemas.openxmlformats.org/officeDocument/2006/relationships/hyperlink" Target="https://www.adidas-group.com/en/investors/financial-reports?tag=2015" TargetMode="External"/><Relationship Id="rId12" Type="http://schemas.openxmlformats.org/officeDocument/2006/relationships/hyperlink" Target="https://web.archive.org/web/20101201014824/http://www.adidas-group.com/en/sustainability/Environment/green_company/default.aspx" TargetMode="External"/><Relationship Id="rId15" Type="http://schemas.openxmlformats.org/officeDocument/2006/relationships/hyperlink" Target="https://www.adidas-group.com/en/sustainability/transparency/reporting/green-company-reports?tag=2011" TargetMode="External"/><Relationship Id="rId198" Type="http://schemas.openxmlformats.org/officeDocument/2006/relationships/hyperlink" Target="https://www.ovscorporate.it/sites/default/files/documents/2023-10/2017_ovs_bilancio_annuale.pdf" TargetMode="External"/><Relationship Id="rId14" Type="http://schemas.openxmlformats.org/officeDocument/2006/relationships/hyperlink" Target="https://www.adidas-group.com/en/sustainability/transparency/reporting/green-company-reports?tag=2011" TargetMode="External"/><Relationship Id="rId197" Type="http://schemas.openxmlformats.org/officeDocument/2006/relationships/hyperlink" Target="https://www.ovscorporate.it/sites/default/files/documents/2023-10/2016_ovs_consolidated_non-financial_statement.pdf" TargetMode="External"/><Relationship Id="rId17" Type="http://schemas.openxmlformats.org/officeDocument/2006/relationships/hyperlink" Target="https://www.adidas-group.com/en/investors/financial-reports?tag=2015" TargetMode="External"/><Relationship Id="rId196" Type="http://schemas.openxmlformats.org/officeDocument/2006/relationships/hyperlink" Target="https://www.ovscorporate.it/sites/default/files/documents/2023-10/2020_ovs_consolidated_non-financial_statement.pdf" TargetMode="External"/><Relationship Id="rId16" Type="http://schemas.openxmlformats.org/officeDocument/2006/relationships/hyperlink" Target="https://www.adidas-group.com/en/investors/financial-reports?tag=2015" TargetMode="External"/><Relationship Id="rId195" Type="http://schemas.openxmlformats.org/officeDocument/2006/relationships/hyperlink" Target="https://www.ovscorporate.it/sites/default/files/documents/2023-10/2016_ovs_consolidated_non-financial_statement.pdf" TargetMode="External"/><Relationship Id="rId19" Type="http://schemas.openxmlformats.org/officeDocument/2006/relationships/hyperlink" Target="https://report.adidas-group.com/2024/en/services/downloads.html" TargetMode="External"/><Relationship Id="rId18" Type="http://schemas.openxmlformats.org/officeDocument/2006/relationships/hyperlink" Target="https://report.adidas-group.com/2024/en/services/downloads.html" TargetMode="External"/><Relationship Id="rId199" Type="http://schemas.openxmlformats.org/officeDocument/2006/relationships/hyperlink" Target="https://www.ovscorporate.it/sites/default/files/documents/2023-10/2017_ovs_bilancio_annuale.pdf" TargetMode="External"/><Relationship Id="rId84" Type="http://schemas.openxmlformats.org/officeDocument/2006/relationships/hyperlink" Target="https://www.zegnagroup.com/wp-content/uploads/2021/12/11-07-ZEGNA_SUSTAINABILITY-REPORT-2021_INTERACTIVE.pdf" TargetMode="External"/><Relationship Id="rId83" Type="http://schemas.openxmlformats.org/officeDocument/2006/relationships/hyperlink" Target="https://www.zegnagroup.com/wp-content/uploads/2021/12/Zegna-Group-Sustainability-Report-2024.pdf" TargetMode="External"/><Relationship Id="rId86" Type="http://schemas.openxmlformats.org/officeDocument/2006/relationships/hyperlink" Target="https://www.zegnagroup.com/wp-content/uploads/2021/12/11-07-ZEGNA_SUSTAINABILITY-REPORT-2021_INTERACTIVE.pdf" TargetMode="External"/><Relationship Id="rId85" Type="http://schemas.openxmlformats.org/officeDocument/2006/relationships/hyperlink" Target="https://www.zegnagroup.com/wp-content/uploads/2023/07/zegna_report_2022_LQ-2.pdf" TargetMode="External"/><Relationship Id="rId88" Type="http://schemas.openxmlformats.org/officeDocument/2006/relationships/hyperlink" Target="https://www.zegnagroup.com/wp-content/uploads/2021/12/Zegna-Group-Sustainability-Report-2024.pdf" TargetMode="External"/><Relationship Id="rId150" Type="http://schemas.openxmlformats.org/officeDocument/2006/relationships/hyperlink" Target="https://www.monclergroup.com/wp-content/uploads/2021/07/Moncler-DNF2020-ENG-DGT-C-1.pdf" TargetMode="External"/><Relationship Id="rId271" Type="http://schemas.openxmlformats.org/officeDocument/2006/relationships/hyperlink" Target="https://www.pradagroup.com/content/dam/pradagroup/documents/Responsabilita_sociale/2025/Report-CSR-2024/E_2024%20Sustainability%20Report.pdf" TargetMode="External"/><Relationship Id="rId87" Type="http://schemas.openxmlformats.org/officeDocument/2006/relationships/hyperlink" Target="https://www.zegnagroup.com/wp-content/uploads/2023/07/zegna_report_2022_LQ-2.pdf" TargetMode="External"/><Relationship Id="rId270" Type="http://schemas.openxmlformats.org/officeDocument/2006/relationships/hyperlink" Target="https://www.pradagroup.com/content/dam/pradagroup/documents/Responsabilita_sociale/2022/e-Sustainability%20Report%202021.pdf" TargetMode="External"/><Relationship Id="rId89" Type="http://schemas.openxmlformats.org/officeDocument/2006/relationships/hyperlink" Target="https://www.zegnagroup.com/wp-content/uploads/2021/12/11-07-ZEGNA_SUSTAINABILITY-REPORT-2021_INTERACTIVE.pdf" TargetMode="External"/><Relationship Id="rId80" Type="http://schemas.openxmlformats.org/officeDocument/2006/relationships/hyperlink" Target="https://www.zegnagroup.com/wp-content/uploads/2021/12/Ermenegildo-Zegna-Group_Sustainability-Report_2023.pdf" TargetMode="External"/><Relationship Id="rId82" Type="http://schemas.openxmlformats.org/officeDocument/2006/relationships/hyperlink" Target="https://www.zegnagroup.com/wp-content/uploads/2021/12/11-07-ZEGNA_SUSTAINABILITY-REPORT-2021_INTERACTIVE.pdf" TargetMode="External"/><Relationship Id="rId81" Type="http://schemas.openxmlformats.org/officeDocument/2006/relationships/hyperlink" Target="https://www.zegnagroup.com/wp-content/uploads/2021/12/11-07-ZEGNA_SUSTAINABILITY-REPORT-2021_INTERACTIVE.pdf" TargetMode="External"/><Relationship Id="rId1" Type="http://schemas.openxmlformats.org/officeDocument/2006/relationships/hyperlink" Target="https://web.archive.org/web/20101201014824/http://www.adidas-group.com/en/sustainability/Environment/green_company/default.aspx" TargetMode="External"/><Relationship Id="rId2" Type="http://schemas.openxmlformats.org/officeDocument/2006/relationships/hyperlink" Target="https://www.adidas-group.com/en/sustainability/transparency/reporting/green-company-reports?tag=2011" TargetMode="External"/><Relationship Id="rId3" Type="http://schemas.openxmlformats.org/officeDocument/2006/relationships/hyperlink" Target="https://www.adidas-group.com/en/investors/financial-reports?tag=2015" TargetMode="External"/><Relationship Id="rId149" Type="http://schemas.openxmlformats.org/officeDocument/2006/relationships/hyperlink" Target="https://www.monclergroup.com/wp-content/uploads/2023/06/Consolidated-Non-Financial-Statement-2022.pdf" TargetMode="External"/><Relationship Id="rId4" Type="http://schemas.openxmlformats.org/officeDocument/2006/relationships/hyperlink" Target="https://web.archive.org/web/20101201014824/http://www.adidas-group.com/en/sustainability/Environment/green_company/default.aspx" TargetMode="External"/><Relationship Id="rId148" Type="http://schemas.openxmlformats.org/officeDocument/2006/relationships/hyperlink" Target="https://www.monclergroup.com/wp-content/uploads/2021/07/Moncler-DNF2020-ENG-DGT-C-1.pdf" TargetMode="External"/><Relationship Id="rId269" Type="http://schemas.openxmlformats.org/officeDocument/2006/relationships/hyperlink" Target="https://www.pradagroup.com/content/dam/pradagroup/documents/Responsabilita_sociale/2024/Report-CSR-2023/e-Prada_Group_2023_Sustainability_Report.pdf" TargetMode="External"/><Relationship Id="rId9" Type="http://schemas.openxmlformats.org/officeDocument/2006/relationships/hyperlink" Target="https://www.adidas-group.com/en/investors/financial-reports?tag=2015" TargetMode="External"/><Relationship Id="rId143" Type="http://schemas.openxmlformats.org/officeDocument/2006/relationships/hyperlink" Target="https://www.monclergroup.com/wp-content/uploads/2021/07/Moncler-DNF2020-ENG-DGT-C-1.pdf" TargetMode="External"/><Relationship Id="rId264" Type="http://schemas.openxmlformats.org/officeDocument/2006/relationships/hyperlink" Target="https://www.pradagroup.com/content/dam/pradagroup/documents/Responsabilita_sociale/2025/Report-CSR-2024/E_2024%20Sustainability%20Report.pdf" TargetMode="External"/><Relationship Id="rId142" Type="http://schemas.openxmlformats.org/officeDocument/2006/relationships/hyperlink" Target="https://www.monclergroup.com/wp-content/uploads/2022/04/Consolidated-Non-Financial-Statement-2021-1.pdf" TargetMode="External"/><Relationship Id="rId263" Type="http://schemas.openxmlformats.org/officeDocument/2006/relationships/hyperlink" Target="https://www.pradagroup.com/content/dam/pradagroup/documents/Responsabilita_sociale/2022/e-Sustainability%20Report%202021.pdf" TargetMode="External"/><Relationship Id="rId141" Type="http://schemas.openxmlformats.org/officeDocument/2006/relationships/hyperlink" Target="https://www.monclergroup.com/wp-content/uploads/2021/07/Moncler-DNF2020-ENG-DGT-C-1.pdf" TargetMode="External"/><Relationship Id="rId262" Type="http://schemas.openxmlformats.org/officeDocument/2006/relationships/hyperlink" Target="https://www.pradagroup.com/content/dam/pradagroup/documents/Responsabilita_sociale/2022/e-Sustainability%20Report%202021.pdf" TargetMode="External"/><Relationship Id="rId140" Type="http://schemas.openxmlformats.org/officeDocument/2006/relationships/hyperlink" Target="https://www.monclergroup.com/wp-content/uploads/2021/07/Moncler-DNF2020-ENG-DGT-C-1.pdf" TargetMode="External"/><Relationship Id="rId261" Type="http://schemas.openxmlformats.org/officeDocument/2006/relationships/hyperlink" Target="https://www.pradagroup.com/content/dam/pradagroup/documents/Responsabilita_sociale/2025/Report-CSR-2024/E_2024%20Sustainability%20Report.pdf" TargetMode="External"/><Relationship Id="rId5" Type="http://schemas.openxmlformats.org/officeDocument/2006/relationships/hyperlink" Target="https://www.adidas-group.com/en/investors/financial-reports?tag=2015" TargetMode="External"/><Relationship Id="rId147" Type="http://schemas.openxmlformats.org/officeDocument/2006/relationships/hyperlink" Target="https://www.monclergroup.com/wp-content/uploads/2024/05/2023-Consolidated-non-Financial-Statement.pdf" TargetMode="External"/><Relationship Id="rId268" Type="http://schemas.openxmlformats.org/officeDocument/2006/relationships/hyperlink" Target="https://www.pradagroup.com/content/dam/pradagroup/documents/Responsabilita_sociale/2024/Report-CSR-2023/e-Prada_Group_2023_Sustainability_Report.pdf" TargetMode="External"/><Relationship Id="rId6" Type="http://schemas.openxmlformats.org/officeDocument/2006/relationships/hyperlink" Target="https://web.archive.org/web/20101201014824/http://www.adidas-group.com/en/sustainability/Environment/green_company/default.aspx" TargetMode="External"/><Relationship Id="rId146" Type="http://schemas.openxmlformats.org/officeDocument/2006/relationships/hyperlink" Target="https://www.monclergroup.com/wp-content/uploads/2021/07/Moncler-DNF2020-ENG-DGT-C-1.pdf" TargetMode="External"/><Relationship Id="rId267" Type="http://schemas.openxmlformats.org/officeDocument/2006/relationships/hyperlink" Target="https://www.pradagroup.com/content/dam/pradagroup/documents/Responsabilita_sociale/2024/Report-CSR-2023/e-Prada_Group_2023_Sustainability_Report.pdf" TargetMode="External"/><Relationship Id="rId7" Type="http://schemas.openxmlformats.org/officeDocument/2006/relationships/hyperlink" Target="https://www.adidas-group.com/en/investors/financial-reports?tag=2015" TargetMode="External"/><Relationship Id="rId145" Type="http://schemas.openxmlformats.org/officeDocument/2006/relationships/hyperlink" Target="https://www.monclergroup.com/wp-content/uploads/2022/04/Consolidated-Non-Financial-Statement-2021-1.pdf" TargetMode="External"/><Relationship Id="rId266" Type="http://schemas.openxmlformats.org/officeDocument/2006/relationships/hyperlink" Target="https://www.pradagroup.com/content/dam/pradagroup/documents/Responsabilita_sociale/2022/e-Sustainability%20Report%202021.pdf" TargetMode="External"/><Relationship Id="rId8" Type="http://schemas.openxmlformats.org/officeDocument/2006/relationships/hyperlink" Target="https://web.archive.org/web/20101201014824/http://www.adidas-group.com/en/sustainability/Environment/green_company/default.aspx" TargetMode="External"/><Relationship Id="rId144" Type="http://schemas.openxmlformats.org/officeDocument/2006/relationships/hyperlink" Target="https://www.monclergroup.com/wp-content/uploads/2025/04/moncler-group-annual-report-2024.pdf" TargetMode="External"/><Relationship Id="rId265" Type="http://schemas.openxmlformats.org/officeDocument/2006/relationships/hyperlink" Target="https://www.pradagroup.com/content/dam/pradagroup/documents/Shareholderinformation/2023/inglese/annual-report-2022/e-Prada_Group_2022_Sustainability_Report.pdf" TargetMode="External"/><Relationship Id="rId73" Type="http://schemas.openxmlformats.org/officeDocument/2006/relationships/hyperlink" Target="https://www.zegnagroup.com/wp-content/uploads/2021/11/ZEGNA_SUSTAINABILITY-REPORT_V20_LOW.pdf" TargetMode="External"/><Relationship Id="rId72" Type="http://schemas.openxmlformats.org/officeDocument/2006/relationships/hyperlink" Target="https://www.zegnagroup.com/wp-content/uploads/2021/12/Zegna-Group-Sustainability-Report-2024.pdf" TargetMode="External"/><Relationship Id="rId75" Type="http://schemas.openxmlformats.org/officeDocument/2006/relationships/hyperlink" Target="https://www.zegnagroup.com/wp-content/uploads/2021/11/ZEGNA_SUSTAINABILITY-REPORT_V20_LOW.pdf" TargetMode="External"/><Relationship Id="rId74" Type="http://schemas.openxmlformats.org/officeDocument/2006/relationships/hyperlink" Target="https://www.zegnagroup.com/wp-content/uploads/2023/07/zegna_report_2022_LQ-2.pdf" TargetMode="External"/><Relationship Id="rId77" Type="http://schemas.openxmlformats.org/officeDocument/2006/relationships/hyperlink" Target="https://www.zegnagroup.com/wp-content/uploads/2021/11/ZEGNA_SUSTAINABILITY-REPORT_V20_LOW.pdf" TargetMode="External"/><Relationship Id="rId260" Type="http://schemas.openxmlformats.org/officeDocument/2006/relationships/hyperlink" Target="https://www.pradagroup.com/content/dam/pradagroup/documents/Responsabilita_sociale/2022/e-Sustainability%20Report%202021.pdf" TargetMode="External"/><Relationship Id="rId76" Type="http://schemas.openxmlformats.org/officeDocument/2006/relationships/hyperlink" Target="https://www.zegnagroup.com/wp-content/uploads/2021/11/ZEGNA_SUSTAINABILITY-REPORT_V20_LOW.pdf" TargetMode="External"/><Relationship Id="rId79" Type="http://schemas.openxmlformats.org/officeDocument/2006/relationships/hyperlink" Target="https://www.zegnagroup.com/wp-content/uploads/2021/11/ZEGNA_SUSTAINABILITY-REPORT_V20_LOW.pdf" TargetMode="External"/><Relationship Id="rId78" Type="http://schemas.openxmlformats.org/officeDocument/2006/relationships/hyperlink" Target="https://www.zegnagroup.com/wp-content/uploads/2021/12/Ermenegildo-Zegna-Group_Sustainability-Report_2023.pdf" TargetMode="External"/><Relationship Id="rId71" Type="http://schemas.openxmlformats.org/officeDocument/2006/relationships/hyperlink" Target="https://www.zegnagroup.com/wp-content/uploads/2021/11/ZEGNA_SUSTAINABILITY-REPORT_V20_LOW.pdf" TargetMode="External"/><Relationship Id="rId70" Type="http://schemas.openxmlformats.org/officeDocument/2006/relationships/hyperlink" Target="https://www.zegnagroup.com/wp-content/uploads/2021/11/ZEGNA_SUSTAINABILITY-REPORT_V20_LOW.pdf" TargetMode="External"/><Relationship Id="rId139" Type="http://schemas.openxmlformats.org/officeDocument/2006/relationships/hyperlink" Target="https://www.monclergroup.com/wp-content/uploads/2024/05/2023-Consolidated-non-Financial-Statement.pdf" TargetMode="External"/><Relationship Id="rId138" Type="http://schemas.openxmlformats.org/officeDocument/2006/relationships/hyperlink" Target="https://www.monclergroup.com/wp-content/uploads/2021/07/Moncler-DNF2020-ENG-DGT-C-1.pdf" TargetMode="External"/><Relationship Id="rId259" Type="http://schemas.openxmlformats.org/officeDocument/2006/relationships/hyperlink" Target="https://www.pradagroup.com/content/dam/pradagroup/documents/Responsabilita_sociale/2022/e-Sustainability%20Report%202021.pdf" TargetMode="External"/><Relationship Id="rId137" Type="http://schemas.openxmlformats.org/officeDocument/2006/relationships/hyperlink" Target="https://www.monclergroup.com/wp-content/uploads/2021/07/Moncler-DNF2020-ENG-DGT-C-1.pdf" TargetMode="External"/><Relationship Id="rId258" Type="http://schemas.openxmlformats.org/officeDocument/2006/relationships/hyperlink" Target="https://www.pradagroup.com/content/dam/pradagroup/documents/Responsabilita_sociale/2025/Report-CSR-2024/E_2024%20Sustainability%20Report.pdf" TargetMode="External"/><Relationship Id="rId132" Type="http://schemas.openxmlformats.org/officeDocument/2006/relationships/hyperlink" Target="https://www.monclergroup.com/wp-content/uploads/2021/07/Moncler-DNF2020-ENG-DGT-C-1.pdf" TargetMode="External"/><Relationship Id="rId253" Type="http://schemas.openxmlformats.org/officeDocument/2006/relationships/hyperlink" Target="https://www.pradagroup.com/content/dam/pradagroup/documents/Responsabilita_sociale/2022/e-Sustainability%20Report%202021.pdf" TargetMode="External"/><Relationship Id="rId131" Type="http://schemas.openxmlformats.org/officeDocument/2006/relationships/hyperlink" Target="https://www.monclergroup.com/wp-content/uploads/2021/07/Moncler-DNF2020-ENG-DGT-C-1.pdf" TargetMode="External"/><Relationship Id="rId252" Type="http://schemas.openxmlformats.org/officeDocument/2006/relationships/hyperlink" Target="https://www.pradagroup.com/content/dam/pradagroup/documents/Shareholderinformation/2023/inglese/annual-report-2022/e-Prada_Group_2022_Sustainability_Report.pdf" TargetMode="External"/><Relationship Id="rId130" Type="http://schemas.openxmlformats.org/officeDocument/2006/relationships/hyperlink" Target="https://www.monclergroup.com/wp-content/uploads/2021/07/Moncler-DNF2020-ENG-DGT-C-1.pdf" TargetMode="External"/><Relationship Id="rId251" Type="http://schemas.openxmlformats.org/officeDocument/2006/relationships/hyperlink" Target="https://www.pradagroup.com/content/dam/pradagroup/documents/Responsabilita_sociale/2022/e-Sustainability%20Report%202021.pdf" TargetMode="External"/><Relationship Id="rId250" Type="http://schemas.openxmlformats.org/officeDocument/2006/relationships/hyperlink" Target="https://www.pradagroup.com/content/dam/pradagroup/documents/Responsabilita_sociale/2022/e-Sustainability%20Report%202021.pdf" TargetMode="External"/><Relationship Id="rId136" Type="http://schemas.openxmlformats.org/officeDocument/2006/relationships/hyperlink" Target="https://www.monclergroup.com/wp-content/uploads/2021/07/Moncler-DNF2020-ENG-DGT-C-1.pdf" TargetMode="External"/><Relationship Id="rId257" Type="http://schemas.openxmlformats.org/officeDocument/2006/relationships/hyperlink" Target="https://www.pradagroup.com/content/dam/pradagroup/documents/Responsabilita_sociale/2024/Report-CSR-2023/e-Prada_Group_2023_Sustainability_Report.pdf" TargetMode="External"/><Relationship Id="rId135" Type="http://schemas.openxmlformats.org/officeDocument/2006/relationships/hyperlink" Target="https://www.monclergroup.com/wp-content/uploads/2021/07/Moncler-DNF2020-ENG-DGT-C-1.pdf" TargetMode="External"/><Relationship Id="rId256" Type="http://schemas.openxmlformats.org/officeDocument/2006/relationships/hyperlink" Target="https://www.pradagroup.com/content/dam/pradagroup/documents/Responsabilita_sociale/2025/Report-CSR-2024/E_2024%20Sustainability%20Report.pdf" TargetMode="External"/><Relationship Id="rId134" Type="http://schemas.openxmlformats.org/officeDocument/2006/relationships/hyperlink" Target="https://www.monclergroup.com/wp-content/uploads/2025/04/moncler-group-annual-report-2024.pdf" TargetMode="External"/><Relationship Id="rId255" Type="http://schemas.openxmlformats.org/officeDocument/2006/relationships/hyperlink" Target="https://www.pradagroup.com/content/dam/pradagroup/documents/Responsabilita_sociale/2025/Report-CSR-2024/E_2024%20Sustainability%20Report.pdf" TargetMode="External"/><Relationship Id="rId133" Type="http://schemas.openxmlformats.org/officeDocument/2006/relationships/hyperlink" Target="https://www.monclergroup.com/wp-content/uploads/2021/07/Moncler-DNF2020-ENG-DGT-C-1.pdf" TargetMode="External"/><Relationship Id="rId254" Type="http://schemas.openxmlformats.org/officeDocument/2006/relationships/hyperlink" Target="https://www.pradagroup.com/content/dam/pradagroup/documents/Responsabilita_sociale/2022/e-Sustainability%20Report%202021.pdf" TargetMode="External"/><Relationship Id="rId62" Type="http://schemas.openxmlformats.org/officeDocument/2006/relationships/hyperlink" Target="https://armanivalues.com/wp-content/uploads/2022/11/Sustainability-Report-2021-Armani-Group-EN-1.pdf" TargetMode="External"/><Relationship Id="rId61" Type="http://schemas.openxmlformats.org/officeDocument/2006/relationships/hyperlink" Target="https://armanivalues.com/wp-content/uploads/2025/03/2023_Sustainability-Report_Armani-Group.pdf" TargetMode="External"/><Relationship Id="rId64" Type="http://schemas.openxmlformats.org/officeDocument/2006/relationships/hyperlink" Target="https://armanivalues.com/wp-content/uploads/2025/03/2023_Sustainability-Report_Armani-Group.pdf" TargetMode="External"/><Relationship Id="rId63" Type="http://schemas.openxmlformats.org/officeDocument/2006/relationships/hyperlink" Target="https://armanivalues.com/wp-content/uploads/2022/11/Sustainability-Report-2021-Armani-Group-EN-1.pdf" TargetMode="External"/><Relationship Id="rId66" Type="http://schemas.openxmlformats.org/officeDocument/2006/relationships/hyperlink" Target="https://armanivalues.com/wp-content/uploads/2023/08/2022_Sustainability-Report_Armani-Group.pdf" TargetMode="External"/><Relationship Id="rId172" Type="http://schemas.openxmlformats.org/officeDocument/2006/relationships/hyperlink" Target="https://www.monclergroup.com/wp-content/uploads/2022/04/Consolidated-Non-Financial-Statement-2021-1.pdf" TargetMode="External"/><Relationship Id="rId293" Type="http://schemas.openxmlformats.org/officeDocument/2006/relationships/hyperlink" Target="https://www.pradagroup.com/content/dam/pradagroup/documents/Responsabilita_sociale/2025/Report-CSR-2024/E_2024%20Sustainability%20Report.pdf" TargetMode="External"/><Relationship Id="rId65" Type="http://schemas.openxmlformats.org/officeDocument/2006/relationships/hyperlink" Target="https://armanivalues.com/wp-content/uploads/2022/11/Sustainability-Report-2021-Armani-Group-EN-1.pdf" TargetMode="External"/><Relationship Id="rId171" Type="http://schemas.openxmlformats.org/officeDocument/2006/relationships/hyperlink" Target="https://www.monclergroup.com/wp-content/uploads/2025/04/moncler-group-annual-report-2024.pdf" TargetMode="External"/><Relationship Id="rId292" Type="http://schemas.openxmlformats.org/officeDocument/2006/relationships/hyperlink" Target="https://www.pradagroup.com/content/dam/pradagroup/documents/Responsabilita_sociale/2024/Report-CSR-2023/e-Prada_Group_2023_Sustainability_Report.pdf" TargetMode="External"/><Relationship Id="rId68" Type="http://schemas.openxmlformats.org/officeDocument/2006/relationships/hyperlink" Target="https://www.zegnagroup.com/wp-content/uploads/2021/11/ZEGNA_SUSTAINABILITY-REPORT_V20_LOW.pdf" TargetMode="External"/><Relationship Id="rId170" Type="http://schemas.openxmlformats.org/officeDocument/2006/relationships/hyperlink" Target="https://www.monclergroup.com/wp-content/uploads/2022/04/Consolidated-Non-Financial-Statement-2021-1.pdf" TargetMode="External"/><Relationship Id="rId291" Type="http://schemas.openxmlformats.org/officeDocument/2006/relationships/hyperlink" Target="https://www.pradagroup.com/content/dam/pradagroup/documents/Responsabilita_sociale/2025/Report-CSR-2024/E_2024%20Sustainability%20Report.pdf" TargetMode="External"/><Relationship Id="rId67" Type="http://schemas.openxmlformats.org/officeDocument/2006/relationships/hyperlink" Target="https://www.zegnagroup.com/wp-content/uploads/2021/11/ZEGNA_SUSTAINABILITY-REPORT_V20_LOW.pdf" TargetMode="External"/><Relationship Id="rId290" Type="http://schemas.openxmlformats.org/officeDocument/2006/relationships/hyperlink" Target="https://www.pradagroup.com/content/dam/pradagroup/documents/Responsabilita_sociale/2024/Report-CSR-2023/e-Prada_Group_2023_Sustainability_Report.pdf" TargetMode="External"/><Relationship Id="rId60" Type="http://schemas.openxmlformats.org/officeDocument/2006/relationships/hyperlink" Target="https://armanivalues.com/wp-content/uploads/2022/11/Sustainability-Report-2021-Armani-Group-EN-1.pdf" TargetMode="External"/><Relationship Id="rId165" Type="http://schemas.openxmlformats.org/officeDocument/2006/relationships/hyperlink" Target="https://www.monclergroup.com/wp-content/uploads/2021/07/Moncler-DNF2020-ENG-DGT-C-1.pdf" TargetMode="External"/><Relationship Id="rId286" Type="http://schemas.openxmlformats.org/officeDocument/2006/relationships/hyperlink" Target="https://www.pradagroup.com/content/dam/pradagroup/documents/Responsabilita_sociale/2025/Report-CSR-2024/E_2024%20Sustainability%20Report.pdf" TargetMode="External"/><Relationship Id="rId69" Type="http://schemas.openxmlformats.org/officeDocument/2006/relationships/hyperlink" Target="https://www.zegnagroup.com/wp-content/uploads/2021/12/Zegna-Group-Sustainability-Report-2024.pdf" TargetMode="External"/><Relationship Id="rId164" Type="http://schemas.openxmlformats.org/officeDocument/2006/relationships/hyperlink" Target="https://www.monclergroup.com/wp-content/uploads/2024/05/2023-Consolidated-non-Financial-Statement.pdf" TargetMode="External"/><Relationship Id="rId285" Type="http://schemas.openxmlformats.org/officeDocument/2006/relationships/hyperlink" Target="https://www.pradagroup.com/content/dam/pradagroup/documents/Responsabilita_sociale/2024/Report-CSR-2023/e-Prada_Group_2023_Sustainability_Report.pdf" TargetMode="External"/><Relationship Id="rId163" Type="http://schemas.openxmlformats.org/officeDocument/2006/relationships/hyperlink" Target="https://www.monclergroup.com/wp-content/uploads/2021/07/Moncler-DNF2020-ENG-DGT-C-1.pdf" TargetMode="External"/><Relationship Id="rId284" Type="http://schemas.openxmlformats.org/officeDocument/2006/relationships/hyperlink" Target="https://www.pradagroup.com/content/dam/pradagroup/documents/Responsabilita_sociale/2024/Report-CSR-2023/e-Prada_Group_2023_Sustainability_Report.pdf" TargetMode="External"/><Relationship Id="rId162" Type="http://schemas.openxmlformats.org/officeDocument/2006/relationships/hyperlink" Target="https://www.monclergroup.com/wp-content/uploads/2024/05/2023-Consolidated-non-Financial-Statement.pdf" TargetMode="External"/><Relationship Id="rId283" Type="http://schemas.openxmlformats.org/officeDocument/2006/relationships/hyperlink" Target="https://www.pradagroup.com/content/dam/pradagroup/documents/Responsabilita_sociale/2025/Report-CSR-2024/E_2024%20Sustainability%20Report.pdf" TargetMode="External"/><Relationship Id="rId169" Type="http://schemas.openxmlformats.org/officeDocument/2006/relationships/hyperlink" Target="https://www.monclergroup.com/wp-content/uploads/2025/04/moncler-group-annual-report-2024.pdf" TargetMode="External"/><Relationship Id="rId168" Type="http://schemas.openxmlformats.org/officeDocument/2006/relationships/hyperlink" Target="https://www.monclergroup.com/wp-content/uploads/2021/07/Moncler-DNF2020-ENG-DGT-C-1.pdf" TargetMode="External"/><Relationship Id="rId289" Type="http://schemas.openxmlformats.org/officeDocument/2006/relationships/hyperlink" Target="https://www.pradagroup.com/content/dam/pradagroup/documents/Responsabilita_sociale/2025/Report-CSR-2024/E_2024%20Sustainability%20Report.pdf" TargetMode="External"/><Relationship Id="rId167" Type="http://schemas.openxmlformats.org/officeDocument/2006/relationships/hyperlink" Target="https://www.monclergroup.com/wp-content/uploads/2022/04/Consolidated-Non-Financial-Statement-2021-1.pdf" TargetMode="External"/><Relationship Id="rId288" Type="http://schemas.openxmlformats.org/officeDocument/2006/relationships/hyperlink" Target="https://www.pradagroup.com/content/dam/pradagroup/documents/Responsabilita_sociale/2024/Report-CSR-2023/e-Prada_Group_2023_Sustainability_Report.pdf" TargetMode="External"/><Relationship Id="rId166" Type="http://schemas.openxmlformats.org/officeDocument/2006/relationships/hyperlink" Target="https://www.monclergroup.com/wp-content/uploads/2025/04/moncler-group-annual-report-2024.pdf" TargetMode="External"/><Relationship Id="rId287" Type="http://schemas.openxmlformats.org/officeDocument/2006/relationships/hyperlink" Target="https://www.pradagroup.com/content/dam/pradagroup/documents/Responsabilita_sociale/2024/Report-CSR-2023/e-Prada_Group_2023_Sustainability_Report.pdf" TargetMode="External"/><Relationship Id="rId51" Type="http://schemas.openxmlformats.org/officeDocument/2006/relationships/hyperlink" Target="https://armanivalues.com/wp-content/uploads/2022/01/Sustainability-Report-2019-Armani-Group-EN.pdf" TargetMode="External"/><Relationship Id="rId50" Type="http://schemas.openxmlformats.org/officeDocument/2006/relationships/hyperlink" Target="https://armanivalues.com/wp-content/uploads/2022/01/Sustainability-Report-2019-Armani-Group-EN.pdf" TargetMode="External"/><Relationship Id="rId53" Type="http://schemas.openxmlformats.org/officeDocument/2006/relationships/hyperlink" Target="https://armanivalues.com/wp-content/uploads/2023/08/2022_Sustainability-Report_Armani-Group.pdf" TargetMode="External"/><Relationship Id="rId52" Type="http://schemas.openxmlformats.org/officeDocument/2006/relationships/hyperlink" Target="https://armanivalues.com/wp-content/uploads/2022/01/Sustainability-Report-2020-Armani-Group-EN.pdf" TargetMode="External"/><Relationship Id="rId55" Type="http://schemas.openxmlformats.org/officeDocument/2006/relationships/hyperlink" Target="https://armanivalues.com/wp-content/uploads/2022/01/Sustainability-Report-2020-Armani-Group-EN.pdf" TargetMode="External"/><Relationship Id="rId161" Type="http://schemas.openxmlformats.org/officeDocument/2006/relationships/hyperlink" Target="https://www.monclergroup.com/wp-content/uploads/2021/07/Moncler-DNF2020-ENG-DGT-C-1.pdf" TargetMode="External"/><Relationship Id="rId282" Type="http://schemas.openxmlformats.org/officeDocument/2006/relationships/hyperlink" Target="https://www.pradagroup.com/content/dam/pradagroup/documents/Responsabilita_sociale/2025/Report-CSR-2024/E_2024%20Sustainability%20Report.pdf" TargetMode="External"/><Relationship Id="rId54" Type="http://schemas.openxmlformats.org/officeDocument/2006/relationships/hyperlink" Target="https://armanivalues.com/wp-content/uploads/2022/01/Sustainability-Report-2020-Armani-Group-EN.pdf" TargetMode="External"/><Relationship Id="rId160" Type="http://schemas.openxmlformats.org/officeDocument/2006/relationships/hyperlink" Target="https://www.monclergroup.com/wp-content/uploads/2024/05/2023-Consolidated-non-Financial-Statement.pdf" TargetMode="External"/><Relationship Id="rId281" Type="http://schemas.openxmlformats.org/officeDocument/2006/relationships/hyperlink" Target="https://www.pradagroup.com/content/dam/pradagroup/documents/Responsabilita_sociale/2025/Report-CSR-2024/E_2024%20Sustainability%20Report.pdf" TargetMode="External"/><Relationship Id="rId57" Type="http://schemas.openxmlformats.org/officeDocument/2006/relationships/hyperlink" Target="https://armanivalues.com/wp-content/uploads/2022/01/Sustainability-Report-2020-Armani-Group-EN.pdf" TargetMode="External"/><Relationship Id="rId280" Type="http://schemas.openxmlformats.org/officeDocument/2006/relationships/hyperlink" Target="https://www.pradagroup.com/content/dam/pradagroup/documents/Responsabilita_sociale/2025/Report-CSR-2024/E_2024%20Sustainability%20Report.pdf" TargetMode="External"/><Relationship Id="rId56" Type="http://schemas.openxmlformats.org/officeDocument/2006/relationships/hyperlink" Target="https://armanivalues.com/wp-content/uploads/2022/01/Sustainability-Report-2020-Armani-Group-EN.pdf" TargetMode="External"/><Relationship Id="rId159" Type="http://schemas.openxmlformats.org/officeDocument/2006/relationships/hyperlink" Target="https://www.monclergroup.com/wp-content/uploads/2021/07/Moncler-DNF2020-ENG-DGT-C-1.pdf" TargetMode="External"/><Relationship Id="rId59" Type="http://schemas.openxmlformats.org/officeDocument/2006/relationships/hyperlink" Target="https://armanivalues.com/wp-content/uploads/2022/11/Sustainability-Report-2021-Armani-Group-EN-1.pdf" TargetMode="External"/><Relationship Id="rId154" Type="http://schemas.openxmlformats.org/officeDocument/2006/relationships/hyperlink" Target="https://www.monclergroup.com/wp-content/uploads/2021/07/Moncler-DNF2020-ENG-DGT-C-1.pdf" TargetMode="External"/><Relationship Id="rId275" Type="http://schemas.openxmlformats.org/officeDocument/2006/relationships/hyperlink" Target="https://www.pradagroup.com/content/dam/pradagroup/documents/Responsabilita_sociale/2025/Report-CSR-2024/E_2024%20Sustainability%20Report.pdf" TargetMode="External"/><Relationship Id="rId58" Type="http://schemas.openxmlformats.org/officeDocument/2006/relationships/hyperlink" Target="https://armanivalues.com/wp-content/uploads/2022/01/Sustainability-Report-2020-Armani-Group-EN.pdf" TargetMode="External"/><Relationship Id="rId153" Type="http://schemas.openxmlformats.org/officeDocument/2006/relationships/hyperlink" Target="https://www.monclergroup.com/wp-content/uploads/2022/04/Consolidated-Non-Financial-Statement-2021-1.pdf" TargetMode="External"/><Relationship Id="rId274" Type="http://schemas.openxmlformats.org/officeDocument/2006/relationships/hyperlink" Target="https://www.pradagroup.com/content/dam/pradagroup/documents/Responsabilita_sociale/2025/Report-CSR-2024/E_2024%20Sustainability%20Report.pdf" TargetMode="External"/><Relationship Id="rId152" Type="http://schemas.openxmlformats.org/officeDocument/2006/relationships/hyperlink" Target="https://www.monclergroup.com/wp-content/uploads/2021/07/Moncler-DNF2020-ENG-DGT-C-1.pdf" TargetMode="External"/><Relationship Id="rId273" Type="http://schemas.openxmlformats.org/officeDocument/2006/relationships/hyperlink" Target="https://www.pradagroup.com/content/dam/pradagroup/documents/Responsabilita_sociale/2025/Report-CSR-2024/E_2024%20Sustainability%20Report.pdf" TargetMode="External"/><Relationship Id="rId151" Type="http://schemas.openxmlformats.org/officeDocument/2006/relationships/hyperlink" Target="https://www.monclergroup.com/wp-content/uploads/2022/04/Consolidated-Non-Financial-Statement-2021-1.pdf" TargetMode="External"/><Relationship Id="rId272" Type="http://schemas.openxmlformats.org/officeDocument/2006/relationships/hyperlink" Target="https://www.pradagroup.com/content/dam/pradagroup/documents/Responsabilita_sociale/2025/Report-CSR-2024/E_2024%20Sustainability%20Report.pdf" TargetMode="External"/><Relationship Id="rId158" Type="http://schemas.openxmlformats.org/officeDocument/2006/relationships/hyperlink" Target="https://www.monclergroup.com/wp-content/uploads/2021/07/Moncler-DNF2020-ENG-DGT-C-1.pdf" TargetMode="External"/><Relationship Id="rId279" Type="http://schemas.openxmlformats.org/officeDocument/2006/relationships/hyperlink" Target="https://www.pradagroup.com/content/dam/pradagroup/documents/Responsabilita_sociale/2025/Report-CSR-2024/E_2024%20Sustainability%20Report.pdf" TargetMode="External"/><Relationship Id="rId157" Type="http://schemas.openxmlformats.org/officeDocument/2006/relationships/hyperlink" Target="https://textileexchange.org/app/uploads/2023/02/Preferred-Fibers-and-Materials-Definitions-Guidance-Jan-2023.pdf" TargetMode="External"/><Relationship Id="rId278" Type="http://schemas.openxmlformats.org/officeDocument/2006/relationships/hyperlink" Target="https://www.pradagroup.com/content/dam/pradagroup/documents/Responsabilita_sociale/2025/Report-CSR-2024/E_2024%20Sustainability%20Report.pdf" TargetMode="External"/><Relationship Id="rId156" Type="http://schemas.openxmlformats.org/officeDocument/2006/relationships/hyperlink" Target="https://www.monclergroup.com/wp-content/uploads/2024/05/2023-Consolidated-non-Financial-Statement.pdf" TargetMode="External"/><Relationship Id="rId277" Type="http://schemas.openxmlformats.org/officeDocument/2006/relationships/hyperlink" Target="https://www.pradagroup.com/content/dam/pradagroup/documents/Responsabilita_sociale/2025/Report-CSR-2024/E_2024%20Sustainability%20Report.pdf" TargetMode="External"/><Relationship Id="rId155" Type="http://schemas.openxmlformats.org/officeDocument/2006/relationships/hyperlink" Target="https://www.monclergroup.com/wp-content/uploads/2021/07/Moncler-DNF2020-ENG-DGT-C-1.pdf" TargetMode="External"/><Relationship Id="rId276" Type="http://schemas.openxmlformats.org/officeDocument/2006/relationships/hyperlink" Target="https://www.pradagroup.com/content/dam/pradagroup/documents/Responsabilita_sociale/2025/Report-CSR-2024/E_2024%20Sustainability%20Report.pdf" TargetMode="External"/><Relationship Id="rId107" Type="http://schemas.openxmlformats.org/officeDocument/2006/relationships/hyperlink" Target="https://www.zegnagroup.com/wp-content/uploads/2021/12/Zegna-Group-Sustainability-Report-2024.pdf" TargetMode="External"/><Relationship Id="rId228" Type="http://schemas.openxmlformats.org/officeDocument/2006/relationships/hyperlink" Target="https://www.ovscorporate.it/sites/default/files/documents/2023-10/2020_ovs_consolidated_non-financial_statement.pdf" TargetMode="External"/><Relationship Id="rId106" Type="http://schemas.openxmlformats.org/officeDocument/2006/relationships/hyperlink" Target="https://www.zegnagroup.com/wp-content/uploads/2023/07/zegna_report_2022_LQ-2.pdf" TargetMode="External"/><Relationship Id="rId227" Type="http://schemas.openxmlformats.org/officeDocument/2006/relationships/hyperlink" Target="https://www.ovscorporate.it/sites/default/files/documents/2023-10/2020_ovs_consolidated_non-financial_statement.pdf" TargetMode="External"/><Relationship Id="rId105" Type="http://schemas.openxmlformats.org/officeDocument/2006/relationships/hyperlink" Target="https://www.zegnagroup.com/wp-content/uploads/2021/12/Zegna-Group-Sustainability-Report-2024.pdf" TargetMode="External"/><Relationship Id="rId226" Type="http://schemas.openxmlformats.org/officeDocument/2006/relationships/hyperlink" Target="https://www.ovscorporate.it/sites/default/files/documents/2023-10/2020_ovs_consolidated_non-financial_statement.pdf" TargetMode="External"/><Relationship Id="rId104" Type="http://schemas.openxmlformats.org/officeDocument/2006/relationships/hyperlink" Target="https://www.zegnagroup.com/wp-content/uploads/2023/07/zegna_report_2022_LQ-2.pdf" TargetMode="External"/><Relationship Id="rId225" Type="http://schemas.openxmlformats.org/officeDocument/2006/relationships/hyperlink" Target="https://www.ovscorporate.it/sites/default/files/documents/2024-05/20240524_ovs_report_eng.pdf" TargetMode="External"/><Relationship Id="rId109" Type="http://schemas.openxmlformats.org/officeDocument/2006/relationships/hyperlink" Target="https://www.zegnagroup.com/wp-content/uploads/2021/12/Zegna-Group-Sustainability-Report-2024.pdf" TargetMode="External"/><Relationship Id="rId108" Type="http://schemas.openxmlformats.org/officeDocument/2006/relationships/hyperlink" Target="https://www.zegnagroup.com/wp-content/uploads/2023/07/zegna_report_2022_LQ-2.pdf" TargetMode="External"/><Relationship Id="rId229" Type="http://schemas.openxmlformats.org/officeDocument/2006/relationships/hyperlink" Target="https://www.ovscorporate.it/sites/default/files/documents/2023-10/2021_ovs_consolidated_non-financial_statement.pdf" TargetMode="External"/><Relationship Id="rId220" Type="http://schemas.openxmlformats.org/officeDocument/2006/relationships/hyperlink" Target="https://www.ovscorporate.it/sites/default/files/documents/2023-10/2020_ovs_consolidated_non-financial_statement.pdf" TargetMode="External"/><Relationship Id="rId103" Type="http://schemas.openxmlformats.org/officeDocument/2006/relationships/hyperlink" Target="https://www.zegnagroup.com/wp-content/uploads/2021/12/Zegna-Group-Sustainability-Report-2024.pdf" TargetMode="External"/><Relationship Id="rId224" Type="http://schemas.openxmlformats.org/officeDocument/2006/relationships/hyperlink" Target="https://www.ovscorporate.it/sites/default/files/documents/2023-10/2020_ovs_consolidated_non-financial_statement.pdf" TargetMode="External"/><Relationship Id="rId102" Type="http://schemas.openxmlformats.org/officeDocument/2006/relationships/hyperlink" Target="https://www.zegnagroup.com/wp-content/uploads/2023/07/zegna_report_2022_LQ-2.pdf" TargetMode="External"/><Relationship Id="rId223" Type="http://schemas.openxmlformats.org/officeDocument/2006/relationships/hyperlink" Target="https://www.ovscorporate.it/sites/default/files/documents/2023-10/2020_ovs_consolidated_non-financial_statement.pdf" TargetMode="External"/><Relationship Id="rId101" Type="http://schemas.openxmlformats.org/officeDocument/2006/relationships/hyperlink" Target="https://www.zegnagroup.com/wp-content/uploads/2021/12/Zegna-Group-Sustainability-Report-2024.pdf" TargetMode="External"/><Relationship Id="rId222" Type="http://schemas.openxmlformats.org/officeDocument/2006/relationships/hyperlink" Target="https://www.ovscorporate.it/sites/default/files/documents/2024-05/2022_ovs_consolidated_non-financial_statement.pdf" TargetMode="External"/><Relationship Id="rId100" Type="http://schemas.openxmlformats.org/officeDocument/2006/relationships/hyperlink" Target="https://www.zegnagroup.com/wp-content/uploads/2023/07/zegna_report_2022_LQ-2.pdf" TargetMode="External"/><Relationship Id="rId221" Type="http://schemas.openxmlformats.org/officeDocument/2006/relationships/hyperlink" Target="https://www.ovscorporate.it/sites/default/files/documents/2023-10/2020_ovs_consolidated_non-financial_statement.pdf" TargetMode="External"/><Relationship Id="rId217" Type="http://schemas.openxmlformats.org/officeDocument/2006/relationships/hyperlink" Target="https://www.ovscorporate.it/sites/default/files/documents/2023-10/2021_ovs_consolidated_non-financial_statement.pdf" TargetMode="External"/><Relationship Id="rId216" Type="http://schemas.openxmlformats.org/officeDocument/2006/relationships/hyperlink" Target="https://www.ovscorporate.it/sites/default/files/documents/2023-10/2020_ovs_consolidated_non-financial_statement.pdf" TargetMode="External"/><Relationship Id="rId215" Type="http://schemas.openxmlformats.org/officeDocument/2006/relationships/hyperlink" Target="https://www.ovscorporate.it/sites/default/files/documents/2023-10/2020_ovs_consolidated_non-financial_statement.pdf" TargetMode="External"/><Relationship Id="rId214" Type="http://schemas.openxmlformats.org/officeDocument/2006/relationships/hyperlink" Target="https://www.ovscorporate.it/sites/default/files/documents/2023-10/2020_ovs_consolidated_non-financial_statement.pdf" TargetMode="External"/><Relationship Id="rId219" Type="http://schemas.openxmlformats.org/officeDocument/2006/relationships/hyperlink" Target="https://www.ovscorporate.it/sites/default/files/documents/2023-10/2021_ovs_consolidated_non-financial_statement.pdf" TargetMode="External"/><Relationship Id="rId218" Type="http://schemas.openxmlformats.org/officeDocument/2006/relationships/hyperlink" Target="https://www.ovscorporate.it/sites/default/files/documents/2023-10/2020_ovs_consolidated_non-financial_statement.pdf" TargetMode="External"/><Relationship Id="rId330" Type="http://schemas.openxmlformats.org/officeDocument/2006/relationships/hyperlink" Target="https://www.pradagroup.com/content/dam/pradagroup/documents/Responsabilita_sociale/2025/Report-CSR-2024/E_2024%20Sustainability%20Report.pdf" TargetMode="External"/><Relationship Id="rId213" Type="http://schemas.openxmlformats.org/officeDocument/2006/relationships/hyperlink" Target="https://www.ovscorporate.it/sites/default/files/documents/2023-10/2019_ovs_consolidated_non-financial_statement.pdf" TargetMode="External"/><Relationship Id="rId212" Type="http://schemas.openxmlformats.org/officeDocument/2006/relationships/hyperlink" Target="https://www.ovscorporate.it/sites/default/files/documents/2023-10/2018_ovs_annual_report.pdf" TargetMode="External"/><Relationship Id="rId333" Type="http://schemas.openxmlformats.org/officeDocument/2006/relationships/table" Target="../tables/table2.xml"/><Relationship Id="rId211" Type="http://schemas.openxmlformats.org/officeDocument/2006/relationships/hyperlink" Target="https://www.ovscorporate.it/sites/default/files/documents/2023-10/2017_ovs_bilancio_annuale.pdf" TargetMode="External"/><Relationship Id="rId210" Type="http://schemas.openxmlformats.org/officeDocument/2006/relationships/hyperlink" Target="https://www.ovscorporate.it/sites/default/files/documents/2023-10/2020_ovs_consolidated_non-financial_statement.pdf" TargetMode="External"/><Relationship Id="rId331" Type="http://schemas.openxmlformats.org/officeDocument/2006/relationships/drawing" Target="../drawings/drawing3.xml"/><Relationship Id="rId129" Type="http://schemas.openxmlformats.org/officeDocument/2006/relationships/hyperlink" Target="https://www.monclergroup.com/wp-content/uploads/2021/07/Moncler-DNF2020-ENG-DGT-C-1.pdf" TargetMode="External"/><Relationship Id="rId128" Type="http://schemas.openxmlformats.org/officeDocument/2006/relationships/hyperlink" Target="https://www.monclergroup.com/wp-content/uploads/2021/07/Moncler-DNF2020-ENG-DGT-C-1.pdf" TargetMode="External"/><Relationship Id="rId249" Type="http://schemas.openxmlformats.org/officeDocument/2006/relationships/hyperlink" Target="https://www.pradagroup.com/content/dam/pradagroup/documents/Responsabilita_sociale/2024/Report-CSR-2023/e-Prada_Group_2023_Sustainability_Report.pdf" TargetMode="External"/><Relationship Id="rId127" Type="http://schemas.openxmlformats.org/officeDocument/2006/relationships/hyperlink" Target="https://www.mangofashiongroup.com/objetivos" TargetMode="External"/><Relationship Id="rId248" Type="http://schemas.openxmlformats.org/officeDocument/2006/relationships/hyperlink" Target="https://www.pradagroup.com/content/dam/pradagroup/documents/Responsabilita_sociale/2024/Report-CSR-2023/e-Prada_Group_2023_Sustainability_Report.pdf" TargetMode="External"/><Relationship Id="rId126" Type="http://schemas.openxmlformats.org/officeDocument/2006/relationships/hyperlink" Target="https://www.loreal.com/fr/nos-engagements/for-the-planet/preserver-la-nature/" TargetMode="External"/><Relationship Id="rId247" Type="http://schemas.openxmlformats.org/officeDocument/2006/relationships/hyperlink" Target="https://www.ovscorporate.it/sites/default/files/documents/2025-07/ovs_annual_report_2024_eng_def.pdf" TargetMode="External"/><Relationship Id="rId121" Type="http://schemas.openxmlformats.org/officeDocument/2006/relationships/hyperlink" Target="https://static.inditex.com/annual_report_2021/es/documentos/estado-de-informacion-no-financiera-2021.pdf" TargetMode="External"/><Relationship Id="rId242" Type="http://schemas.openxmlformats.org/officeDocument/2006/relationships/hyperlink" Target="https://www.ovscorporate.it/sites/default/files/documents/2024-05/20240524_ovs_report_eng.pdf" TargetMode="External"/><Relationship Id="rId120" Type="http://schemas.openxmlformats.org/officeDocument/2006/relationships/hyperlink" Target="https://static.inditex.com/annual_report_2021/es/documentos/estado-de-informacion-no-financiera-2021.pdf" TargetMode="External"/><Relationship Id="rId241" Type="http://schemas.openxmlformats.org/officeDocument/2006/relationships/hyperlink" Target="https://www.ovscorporate.it/sites/default/files/documents/2024-05/20240524_ovs_report_eng.pdf" TargetMode="External"/><Relationship Id="rId240" Type="http://schemas.openxmlformats.org/officeDocument/2006/relationships/hyperlink" Target="https://www.ovscorporate.it/sites/default/files/documents/2024-05/20240524_ovs_report_eng.pdf" TargetMode="External"/><Relationship Id="rId125" Type="http://schemas.openxmlformats.org/officeDocument/2006/relationships/hyperlink" Target="https://www.loreal.com/fr/nos-engagements/for-the-planet/preserver-la-nature/" TargetMode="External"/><Relationship Id="rId246" Type="http://schemas.openxmlformats.org/officeDocument/2006/relationships/hyperlink" Target="https://www.ovscorporate.it/sites/default/files/documents/2025-07/ovs_annual_report_2024_eng_def.pdf" TargetMode="External"/><Relationship Id="rId124" Type="http://schemas.openxmlformats.org/officeDocument/2006/relationships/hyperlink" Target="https://www.loreal.com/fr/nos-engagements/for-the-planet/preserver-la-nature/" TargetMode="External"/><Relationship Id="rId245" Type="http://schemas.openxmlformats.org/officeDocument/2006/relationships/hyperlink" Target="https://www.ovscorporate.it/sites/default/files/documents/2025-07/ovs_annual_report_2024_eng_def.pdf" TargetMode="External"/><Relationship Id="rId123" Type="http://schemas.openxmlformats.org/officeDocument/2006/relationships/hyperlink" Target="https://www.loreal.com/fr/nos-engagements/for-the-planet/accelerer-la-transition-climatique-/" TargetMode="External"/><Relationship Id="rId244" Type="http://schemas.openxmlformats.org/officeDocument/2006/relationships/hyperlink" Target="https://www.ovscorporate.it/sites/default/files/documents/2025-07/ovs_annual_report_2024_eng_def.pdf" TargetMode="External"/><Relationship Id="rId122" Type="http://schemas.openxmlformats.org/officeDocument/2006/relationships/hyperlink" Target="https://www.loreal.com/fr/nos-engagements/for-the-planet/accelerer-la-transition-climatique-/" TargetMode="External"/><Relationship Id="rId243" Type="http://schemas.openxmlformats.org/officeDocument/2006/relationships/hyperlink" Target="https://www.ovscorporate.it/sites/default/files/documents/2025-07/ovs_annual_report_2024_eng_def.pdf" TargetMode="External"/><Relationship Id="rId95" Type="http://schemas.openxmlformats.org/officeDocument/2006/relationships/hyperlink" Target="https://www.zegnagroup.com/wp-content/uploads/2021/12/Zegna-Group-Sustainability-Report-2024.pdf" TargetMode="External"/><Relationship Id="rId94" Type="http://schemas.openxmlformats.org/officeDocument/2006/relationships/hyperlink" Target="https://www.zegnagroup.com/wp-content/uploads/2023/07/zegna_report_2022_LQ-2.pdf" TargetMode="External"/><Relationship Id="rId97" Type="http://schemas.openxmlformats.org/officeDocument/2006/relationships/hyperlink" Target="https://www.zegnagroup.com/wp-content/uploads/2023/07/zegna_report_2022_LQ-2.pdf" TargetMode="External"/><Relationship Id="rId96" Type="http://schemas.openxmlformats.org/officeDocument/2006/relationships/hyperlink" Target="https://www.zegnagroup.com/wp-content/uploads/2023/07/zegna_report_2022_LQ-2.pdf" TargetMode="External"/><Relationship Id="rId99" Type="http://schemas.openxmlformats.org/officeDocument/2006/relationships/hyperlink" Target="https://www.zegnagroup.com/wp-content/uploads/2023/07/zegna_report_2022_LQ-2.pdf" TargetMode="External"/><Relationship Id="rId98" Type="http://schemas.openxmlformats.org/officeDocument/2006/relationships/hyperlink" Target="https://www.zegnagroup.com/wp-content/uploads/2021/12/Zegna-Group-Sustainability-Report-2024.pdf" TargetMode="External"/><Relationship Id="rId91" Type="http://schemas.openxmlformats.org/officeDocument/2006/relationships/hyperlink" Target="https://www.zegnagroup.com/wp-content/uploads/2021/12/11-07-ZEGNA_SUSTAINABILITY-REPORT-2021_INTERACTIVE.pdf" TargetMode="External"/><Relationship Id="rId90" Type="http://schemas.openxmlformats.org/officeDocument/2006/relationships/hyperlink" Target="https://www.zegnagroup.com/wp-content/uploads/2021/12/Ermenegildo-Zegna-Group_Sustainability-Report_2023.pdf" TargetMode="External"/><Relationship Id="rId93" Type="http://schemas.openxmlformats.org/officeDocument/2006/relationships/hyperlink" Target="https://www.zegnagroup.com/wp-content/uploads/2023/07/zegna_report_2022_LQ-2.pdf" TargetMode="External"/><Relationship Id="rId92" Type="http://schemas.openxmlformats.org/officeDocument/2006/relationships/hyperlink" Target="https://www.zegnagroup.com/wp-content/uploads/2023/07/zegna_report_2022_LQ-2.pdf" TargetMode="External"/><Relationship Id="rId118" Type="http://schemas.openxmlformats.org/officeDocument/2006/relationships/hyperlink" Target="https://static.inditex.com/annual_report/es/Modelosostenible/Modelodenegocio.html" TargetMode="External"/><Relationship Id="rId239" Type="http://schemas.openxmlformats.org/officeDocument/2006/relationships/hyperlink" Target="https://www.ovscorporate.it/sites/default/files/documents/2024-05/20240524_ovs_report_eng.pdf" TargetMode="External"/><Relationship Id="rId117" Type="http://schemas.openxmlformats.org/officeDocument/2006/relationships/hyperlink" Target="https://web.archive.org/web/20211020132723/https://www.inditex.com/comprometidos-con-el-medio-ambiente/agua" TargetMode="External"/><Relationship Id="rId238" Type="http://schemas.openxmlformats.org/officeDocument/2006/relationships/hyperlink" Target="https://www.ovscorporate.it/sites/default/files/documents/2025-07/ovs_annual_report_2024_eng_def.pdf" TargetMode="External"/><Relationship Id="rId116" Type="http://schemas.openxmlformats.org/officeDocument/2006/relationships/hyperlink" Target="https://www.zegnagroup.com/wp-content/uploads/2021/12/Zegna-Group-Sustainability-Report-2024.pdf" TargetMode="External"/><Relationship Id="rId237" Type="http://schemas.openxmlformats.org/officeDocument/2006/relationships/hyperlink" Target="https://www.ovscorporate.it/sites/default/files/documents/2023-10/2021_ovs_consolidated_non-financial_statement.pdf" TargetMode="External"/><Relationship Id="rId115" Type="http://schemas.openxmlformats.org/officeDocument/2006/relationships/hyperlink" Target="https://www.zegnagroup.com/wp-content/uploads/2021/12/Zegna-Group-Sustainability-Report-2024.pdf" TargetMode="External"/><Relationship Id="rId236" Type="http://schemas.openxmlformats.org/officeDocument/2006/relationships/hyperlink" Target="https://www.ovscorporate.it/sites/default/files/documents/2023-10/2021_ovs_consolidated_non-financial_statement.pdf" TargetMode="External"/><Relationship Id="rId119" Type="http://schemas.openxmlformats.org/officeDocument/2006/relationships/hyperlink" Target="https://static.inditex.com/annual_report_2021/es/documentos/estado-de-informacion-no-financiera-2021.pdf" TargetMode="External"/><Relationship Id="rId110" Type="http://schemas.openxmlformats.org/officeDocument/2006/relationships/hyperlink" Target="https://www.zegnagroup.com/wp-content/uploads/2023/07/zegna_report_2022_LQ-2.pdf" TargetMode="External"/><Relationship Id="rId231" Type="http://schemas.openxmlformats.org/officeDocument/2006/relationships/hyperlink" Target="https://www.ovscorporate.it/sites/default/files/documents/2025-07/ovs_annual_report_2024_eng_def.pdf" TargetMode="External"/><Relationship Id="rId230" Type="http://schemas.openxmlformats.org/officeDocument/2006/relationships/hyperlink" Target="https://www.ovscorporate.it/sites/default/files/documents/2025-07/ovs_annual_report_2024_eng_def.pdf" TargetMode="External"/><Relationship Id="rId114" Type="http://schemas.openxmlformats.org/officeDocument/2006/relationships/hyperlink" Target="https://www.zegnagroup.com/wp-content/uploads/2021/12/Zegna-Group-Sustainability-Report-2024.pdf" TargetMode="External"/><Relationship Id="rId235" Type="http://schemas.openxmlformats.org/officeDocument/2006/relationships/hyperlink" Target="https://www.ovscorporate.it/sites/default/files/documents/2023-10/2021_ovs_consolidated_non-financial_statement.pdf" TargetMode="External"/><Relationship Id="rId113" Type="http://schemas.openxmlformats.org/officeDocument/2006/relationships/hyperlink" Target="https://www.zegnagroup.com/wp-content/uploads/2021/12/Zegna-Group-Sustainability-Report-2024.pdf" TargetMode="External"/><Relationship Id="rId234" Type="http://schemas.openxmlformats.org/officeDocument/2006/relationships/hyperlink" Target="https://www.ovscorporate.it/sites/default/files/documents/2023-10/2021_ovs_consolidated_non-financial_statement.pdf" TargetMode="External"/><Relationship Id="rId112" Type="http://schemas.openxmlformats.org/officeDocument/2006/relationships/hyperlink" Target="https://www.zegnagroup.com/wp-content/uploads/2021/12/Zegna-Group-Sustainability-Report-2024.pdf" TargetMode="External"/><Relationship Id="rId233" Type="http://schemas.openxmlformats.org/officeDocument/2006/relationships/hyperlink" Target="https://www.ovscorporate.it/sites/default/files/documents/2023-10/2021_ovs_consolidated_non-financial_statement.pdf" TargetMode="External"/><Relationship Id="rId111" Type="http://schemas.openxmlformats.org/officeDocument/2006/relationships/hyperlink" Target="https://www.zegnagroup.com/wp-content/uploads/2021/12/Zegna-Group-Sustainability-Report-2024.pdf" TargetMode="External"/><Relationship Id="rId232" Type="http://schemas.openxmlformats.org/officeDocument/2006/relationships/hyperlink" Target="https://www.ovscorporate.it/sites/default/files/documents/2023-10/2021_ovs_consolidated_non-financial_statement.pdf" TargetMode="External"/><Relationship Id="rId305" Type="http://schemas.openxmlformats.org/officeDocument/2006/relationships/hyperlink" Target="https://www.pradagroup.com/content/dam/pradagroup/documents/Responsabilita_sociale/2025/Report-CSR-2024/E_2024%20Sustainability%20Report.pdf" TargetMode="External"/><Relationship Id="rId304" Type="http://schemas.openxmlformats.org/officeDocument/2006/relationships/hyperlink" Target="https://www.pradagroup.com/content/dam/pradagroup/documents/Responsabilita_sociale/2025/Report-CSR-2024/E_2024%20Sustainability%20Report.pdf" TargetMode="External"/><Relationship Id="rId303" Type="http://schemas.openxmlformats.org/officeDocument/2006/relationships/hyperlink" Target="https://www.pradagroup.com/content/dam/pradagroup/documents/Responsabilita_sociale/2025/Report-CSR-2024/E_2024%20Sustainability%20Report.pdf" TargetMode="External"/><Relationship Id="rId302" Type="http://schemas.openxmlformats.org/officeDocument/2006/relationships/hyperlink" Target="https://www.pradagroup.com/content/dam/pradagroup/documents/Responsabilita_sociale/2024/Report-CSR-2023/e-Prada_Group_2023_Sustainability_Report.pdf" TargetMode="External"/><Relationship Id="rId309" Type="http://schemas.openxmlformats.org/officeDocument/2006/relationships/hyperlink" Target="https://www.edie.net/primark-signs-up-to-wraps-sustainable-clothing-plan/" TargetMode="External"/><Relationship Id="rId308" Type="http://schemas.openxmlformats.org/officeDocument/2006/relationships/hyperlink" Target="https://web.archive.org/web/20141230231306/http://www.primark.com/~/media/ourethics/detox/pdfs/primark%20restricted%20substances%20list%20rsl.ashx?la=en" TargetMode="External"/><Relationship Id="rId307" Type="http://schemas.openxmlformats.org/officeDocument/2006/relationships/hyperlink" Target="https://www.pradagroup.com/content/dam/pradagroup/documents/Responsabilita_sociale/2024/2024_%20Animal%20Welfare%20Policy_eng.pdf" TargetMode="External"/><Relationship Id="rId306" Type="http://schemas.openxmlformats.org/officeDocument/2006/relationships/hyperlink" Target="https://www.pradagroup.com/content/dam/pradagroup/documents/Responsabilita_sociale/2025/Report-CSR-2024/E_2024%20Sustainability%20Report.pdf" TargetMode="External"/><Relationship Id="rId301" Type="http://schemas.openxmlformats.org/officeDocument/2006/relationships/hyperlink" Target="https://www.pradagroup.com/content/dam/pradagroup/documents/Responsabilita_sociale/2024/Report-CSR-2023/e-Prada_Group_2023_Sustainability_Report.pdf" TargetMode="External"/><Relationship Id="rId300" Type="http://schemas.openxmlformats.org/officeDocument/2006/relationships/hyperlink" Target="https://www.pradagroup.com/content/dam/pradagroup/documents/Responsabilita_sociale/2025/Report-CSR-2024/E_2024%20Sustainability%20Report.pdf" TargetMode="External"/><Relationship Id="rId206" Type="http://schemas.openxmlformats.org/officeDocument/2006/relationships/hyperlink" Target="https://www.ovscorporate.it/sites/default/files/documents/2023-10/2020_ovs_consolidated_non-financial_statement.pdf" TargetMode="External"/><Relationship Id="rId327" Type="http://schemas.openxmlformats.org/officeDocument/2006/relationships/hyperlink" Target="https://sustainability.ferragamo.com/resource/blob/1036188/46223522044d6167a3897d3f187263b1/ferragamo-annual-report-2024-doppie-eng-data.pdf?UNDEFINED" TargetMode="External"/><Relationship Id="rId205" Type="http://schemas.openxmlformats.org/officeDocument/2006/relationships/hyperlink" Target="https://www.ovscorporate.it/sites/default/files/documents/2023-10/2017_ovs_bilancio_annuale.pdf" TargetMode="External"/><Relationship Id="rId326" Type="http://schemas.openxmlformats.org/officeDocument/2006/relationships/hyperlink" Target="https://sustainability.ferragamo.com/resource/blob/1036188/46223522044d6167a3897d3f187263b1/ferragamo-annual-report-2024-doppie-eng-data.pdf?UNDEFINED" TargetMode="External"/><Relationship Id="rId204" Type="http://schemas.openxmlformats.org/officeDocument/2006/relationships/hyperlink" Target="https://www.ovscorporate.it/sites/default/files/documents/2023-10/2020_ovs_consolidated_non-financial_statement.pdf" TargetMode="External"/><Relationship Id="rId325" Type="http://schemas.openxmlformats.org/officeDocument/2006/relationships/hyperlink" Target="https://sustainability.ferragamo.com/resource/blob/887206/e33285df62d1e6dc58a890015dcd79e4/ferragamo-eng-2023-singlepg-data.pdf?UNDEFINED" TargetMode="External"/><Relationship Id="rId203" Type="http://schemas.openxmlformats.org/officeDocument/2006/relationships/hyperlink" Target="https://www.ovscorporate.it/sites/default/files/documents/2023-10/2017_ovs_bilancio_annuale.pdf" TargetMode="External"/><Relationship Id="rId324" Type="http://schemas.openxmlformats.org/officeDocument/2006/relationships/hyperlink" Target="https://sustainability.ferragamo.com/resource/blob/434680/66addbd448d317176730e320c2fe9cda/annual-report-ferragamo-2020-eng-data.pdf?UNDEFINED" TargetMode="External"/><Relationship Id="rId209" Type="http://schemas.openxmlformats.org/officeDocument/2006/relationships/hyperlink" Target="https://www.ovscorporate.it/sites/default/files/documents/2023-10/2017_ovs_bilancio_annuale.pdf" TargetMode="External"/><Relationship Id="rId208" Type="http://schemas.openxmlformats.org/officeDocument/2006/relationships/hyperlink" Target="https://www.ovscorporate.it/sites/default/files/documents/2023-10/2020_ovs_consolidated_non-financial_statement.pdf" TargetMode="External"/><Relationship Id="rId329" Type="http://schemas.openxmlformats.org/officeDocument/2006/relationships/hyperlink" Target="https://sustainability.ferragamo.com/resource/blob/1036188/46223522044d6167a3897d3f187263b1/ferragamo-annual-report-2024-doppie-eng-data.pdf?UNDEFINED" TargetMode="External"/><Relationship Id="rId207" Type="http://schemas.openxmlformats.org/officeDocument/2006/relationships/hyperlink" Target="https://www.ovscorporate.it/sites/default/files/documents/2023-10/2017_ovs_bilancio_annuale.pdf" TargetMode="External"/><Relationship Id="rId328" Type="http://schemas.openxmlformats.org/officeDocument/2006/relationships/hyperlink" Target="https://sustainability.ferragamo.com/resource/blob/1036188/46223522044d6167a3897d3f187263b1/ferragamo-annual-report-2024-doppie-eng-data.pdf?UNDEFINED" TargetMode="External"/><Relationship Id="rId202" Type="http://schemas.openxmlformats.org/officeDocument/2006/relationships/hyperlink" Target="https://www.ovscorporate.it/sites/default/files/documents/2023-10/2019_ovs_consolidated_non-financial_statement.pdf" TargetMode="External"/><Relationship Id="rId323" Type="http://schemas.openxmlformats.org/officeDocument/2006/relationships/hyperlink" Target="https://sustainability.ferragamo.com/resource/blob/434680/66addbd448d317176730e320c2fe9cda/annual-report-ferragamo-2020-eng-data.pdf?UNDEFINED" TargetMode="External"/><Relationship Id="rId201" Type="http://schemas.openxmlformats.org/officeDocument/2006/relationships/hyperlink" Target="https://www.ovscorporate.it/sites/default/files/documents/2023-10/2017_ovs_bilancio_annuale.pdf" TargetMode="External"/><Relationship Id="rId322" Type="http://schemas.openxmlformats.org/officeDocument/2006/relationships/hyperlink" Target="https://sustainability.ferragamo.com/resource/blob/434680/66addbd448d317176730e320c2fe9cda/annual-report-ferragamo-2020-eng-data.pdf?UNDEFINED" TargetMode="External"/><Relationship Id="rId200" Type="http://schemas.openxmlformats.org/officeDocument/2006/relationships/hyperlink" Target="https://www.ovscorporate.it/sites/default/files/documents/2023-10/2018_ovs_annual_report.pdf" TargetMode="External"/><Relationship Id="rId321" Type="http://schemas.openxmlformats.org/officeDocument/2006/relationships/hyperlink" Target="https://sustainability.ferragamo.com/resource/blob/434680/66addbd448d317176730e320c2fe9cda/annual-report-ferragamo-2020-eng-data.pdf?UNDEFINED" TargetMode="External"/><Relationship Id="rId320" Type="http://schemas.openxmlformats.org/officeDocument/2006/relationships/hyperlink" Target="https://sustainability.ferragamo.com/resource/blob/434680/66addbd448d317176730e320c2fe9cda/annual-report-ferragamo-2020-eng-data.pdf?UNDEFINED" TargetMode="External"/><Relationship Id="rId316" Type="http://schemas.openxmlformats.org/officeDocument/2006/relationships/hyperlink" Target="https://sustainability.ferragamo.com/resource/blob/434680/66addbd448d317176730e320c2fe9cda/annual-report-ferragamo-2020-eng-data.pdf?UNDEFINED" TargetMode="External"/><Relationship Id="rId315" Type="http://schemas.openxmlformats.org/officeDocument/2006/relationships/hyperlink" Target="https://sustainability.ferragamo.com/resource/blob/1036188/46223522044d6167a3897d3f187263b1/ferragamo-annual-report-2024-doppie-eng-data.pdf?UNDEFINED" TargetMode="External"/><Relationship Id="rId314" Type="http://schemas.openxmlformats.org/officeDocument/2006/relationships/hyperlink" Target="https://sustainability.ferragamo.com/resource/blob/434680/66addbd448d317176730e320c2fe9cda/annual-report-ferragamo-2020-eng-data.pdf?UNDEFINED" TargetMode="External"/><Relationship Id="rId313" Type="http://schemas.openxmlformats.org/officeDocument/2006/relationships/hyperlink" Target="https://sustainability.ferragamo.com/resource/blob/434680/66addbd448d317176730e320c2fe9cda/annual-report-ferragamo-2020-eng-data.pdf?UNDEFINED" TargetMode="External"/><Relationship Id="rId319" Type="http://schemas.openxmlformats.org/officeDocument/2006/relationships/hyperlink" Target="https://sustainability.ferragamo.com/resource/blob/434680/66addbd448d317176730e320c2fe9cda/annual-report-ferragamo-2020-eng-data.pdf?UNDEFINED" TargetMode="External"/><Relationship Id="rId318" Type="http://schemas.openxmlformats.org/officeDocument/2006/relationships/hyperlink" Target="https://sustainability.ferragamo.com/resource/blob/1036188/46223522044d6167a3897d3f187263b1/ferragamo-annual-report-2024-doppie-eng-data.pdf?UNDEFINED" TargetMode="External"/><Relationship Id="rId317" Type="http://schemas.openxmlformats.org/officeDocument/2006/relationships/hyperlink" Target="https://sustainability.ferragamo.com/resource/blob/434680/66addbd448d317176730e320c2fe9cda/annual-report-ferragamo-2020-eng-data.pdf?UNDEFINED" TargetMode="External"/><Relationship Id="rId312" Type="http://schemas.openxmlformats.org/officeDocument/2006/relationships/hyperlink" Target="https://www.edie.net/primark-signs-up-to-wraps-sustainable-clothing-plan/" TargetMode="External"/><Relationship Id="rId311" Type="http://schemas.openxmlformats.org/officeDocument/2006/relationships/hyperlink" Target="https://www.edie.net/primark-signs-up-to-wraps-sustainable-clothing-plan/" TargetMode="External"/><Relationship Id="rId310" Type="http://schemas.openxmlformats.org/officeDocument/2006/relationships/hyperlink" Target="https://www.edie.net/primark-signs-up-to-wraps-sustainable-clothing-plan/"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chanel.com/puls-img/1721311324579-chanelsustainabilityperformanceextract2023pdf.pdf" TargetMode="External"/><Relationship Id="rId190" Type="http://schemas.openxmlformats.org/officeDocument/2006/relationships/hyperlink" Target="https://www.wrap.ngo/resources/report/scap2020-final-report" TargetMode="External"/><Relationship Id="rId42" Type="http://schemas.openxmlformats.org/officeDocument/2006/relationships/hyperlink" Target="https://www.zegnagroup.com/wp-content/uploads/2021/11/ZEGNA_SUSTAINABILITY-REPORT_V20_LOW.pdf" TargetMode="External"/><Relationship Id="rId41" Type="http://schemas.openxmlformats.org/officeDocument/2006/relationships/hyperlink" Target="https://www.chanel.com/puls-img/1758110433609-chanel-sustainability-performance-extract-2024-for-publication.pdf" TargetMode="External"/><Relationship Id="rId44" Type="http://schemas.openxmlformats.org/officeDocument/2006/relationships/hyperlink" Target="https://www.zegnagroup.com/wp-content/uploads/2023/07/zegna_report_2022_LQ-2.pdf" TargetMode="External"/><Relationship Id="rId194" Type="http://schemas.openxmlformats.org/officeDocument/2006/relationships/hyperlink" Target="https://primark.a.bigcontent.io/v1/static/Primark-Circular-Product-Standard-2023" TargetMode="External"/><Relationship Id="rId43" Type="http://schemas.openxmlformats.org/officeDocument/2006/relationships/hyperlink" Target="https://www.zegnagroup.com/wp-content/uploads/2021/12/11-07-ZEGNA_SUSTAINABILITY-REPORT-2021_INTERACTIVE.pdf" TargetMode="External"/><Relationship Id="rId193" Type="http://schemas.openxmlformats.org/officeDocument/2006/relationships/hyperlink" Target="https://corporate.primark.com/en-gb/a/our-approach/our-primark-cares-commitments" TargetMode="External"/><Relationship Id="rId46" Type="http://schemas.openxmlformats.org/officeDocument/2006/relationships/hyperlink" Target="https://www.zegnagroup.com/wp-content/uploads/2021/12/Zegna-Group-Sustainability-Report-2024.pdf" TargetMode="External"/><Relationship Id="rId192" Type="http://schemas.openxmlformats.org/officeDocument/2006/relationships/hyperlink" Target="https://primark.a.bigcontent.io/v1/static/primark-sustainability-and-ethics-progress-report-2022-23" TargetMode="External"/><Relationship Id="rId45" Type="http://schemas.openxmlformats.org/officeDocument/2006/relationships/hyperlink" Target="https://www.zegnagroup.com/wp-content/uploads/2021/12/Ermenegildo-Zegna-Group_Sustainability-Report_2023.pdf" TargetMode="External"/><Relationship Id="rId191" Type="http://schemas.openxmlformats.org/officeDocument/2006/relationships/hyperlink" Target="https://primark.a.bigcontent.io/v1/static/Primark-Sustainability-and-Ethics-Report-2021-22" TargetMode="External"/><Relationship Id="rId48" Type="http://schemas.openxmlformats.org/officeDocument/2006/relationships/hyperlink" Target="https://hmgroup.com/sustainability/sustainability-reporting/" TargetMode="External"/><Relationship Id="rId187" Type="http://schemas.openxmlformats.org/officeDocument/2006/relationships/hyperlink" Target="https://primark.a.bigcontent.io/v1/static/Primark_Environmental-Sustainability-Performance-Report_2019" TargetMode="External"/><Relationship Id="rId47" Type="http://schemas.openxmlformats.org/officeDocument/2006/relationships/hyperlink" Target="https://hmgroup.com/sustainability/sustainability-reporting/" TargetMode="External"/><Relationship Id="rId186" Type="http://schemas.openxmlformats.org/officeDocument/2006/relationships/hyperlink" Target="https://primark.a.bigcontent.io/v1/static/Primark-Detox-Environmental-Performance-Report-2018" TargetMode="External"/><Relationship Id="rId185" Type="http://schemas.openxmlformats.org/officeDocument/2006/relationships/hyperlink" Target="https://primark.a.bigcontent.io/v1/static/Primark-Environmental-Performance-Report_2017" TargetMode="External"/><Relationship Id="rId49" Type="http://schemas.openxmlformats.org/officeDocument/2006/relationships/hyperlink" Target="https://hmgroup.com/sustainability/sustainability-reporting/" TargetMode="External"/><Relationship Id="rId184" Type="http://schemas.openxmlformats.org/officeDocument/2006/relationships/hyperlink" Target="https://primark.a.bigcontent.io/v1/static/PrimarkChemicalManagementProgrammeStatusonProgressandRoadmap20152016" TargetMode="External"/><Relationship Id="rId189" Type="http://schemas.openxmlformats.org/officeDocument/2006/relationships/hyperlink" Target="https://www.greenpeace.org/international/publication/50922/self-regulation-fashion-supply-chain-fairytale/" TargetMode="External"/><Relationship Id="rId188" Type="http://schemas.openxmlformats.org/officeDocument/2006/relationships/hyperlink" Target="https://primark.a.bigcontent.io/v1/static/Primark_Environmental-Sustainability-Performance-Report_2020" TargetMode="External"/><Relationship Id="rId31" Type="http://schemas.openxmlformats.org/officeDocument/2006/relationships/hyperlink" Target="https://armanivalues.com/wp-content/uploads/2023/08/2022_Sustainability-Report_Armani-Group.pdf" TargetMode="External"/><Relationship Id="rId30" Type="http://schemas.openxmlformats.org/officeDocument/2006/relationships/hyperlink" Target="https://armanivalues.com/wp-content/uploads/2022/11/Sustainability-Report-2021-Armani-Group-EN-1.pdf" TargetMode="External"/><Relationship Id="rId33" Type="http://schemas.openxmlformats.org/officeDocument/2006/relationships/hyperlink" Target="https://www.google.com/url?sa=t&amp;source=web&amp;rct=j&amp;opi=89978449&amp;url=https://www.chanel.com/puls-img/1730292703276-chanellimitedfinancialresultsfortheyearended31december2017emeapdf.pdf&amp;ved=2ahUKEwjH3eyN6LqQAxU-5AIHHd6eEKAQFnoECBoQAQ&amp;usg=AOvVaw3P6LFLfrPJulm_3ukjQojK" TargetMode="External"/><Relationship Id="rId183" Type="http://schemas.openxmlformats.org/officeDocument/2006/relationships/hyperlink" Target="https://primark.a.bigcontent.io/v1/static/Detox-Progress-Report-2015" TargetMode="External"/><Relationship Id="rId32" Type="http://schemas.openxmlformats.org/officeDocument/2006/relationships/hyperlink" Target="https://armanivalues.com/wp-content/uploads/2025/03/2023_Sustainability-Report_Armani-Group.pdf" TargetMode="External"/><Relationship Id="rId182" Type="http://schemas.openxmlformats.org/officeDocument/2006/relationships/hyperlink" Target="https://web.archive.org/web/20141230231306/http://www.primark.com/~/media/ourethics/detox/pdfs/primark%20restricted%20substances%20list%20rsl.ashx?la=en" TargetMode="External"/><Relationship Id="rId35" Type="http://schemas.openxmlformats.org/officeDocument/2006/relationships/hyperlink" Target="https://www.google.com/url?sa=t&amp;source=web&amp;rct=j&amp;opi=89978449&amp;url=https://services.chanel.com/i18n/en_US/pdf/Report_to_Society.pdf&amp;ved=2ahUKEwiMztL_6LqQAxX2zgIHHS66PfcQFnoECBYQAQ&amp;usg=AOvVaw2Ikh-130JSbsF0pNbPalvw" TargetMode="External"/><Relationship Id="rId181" Type="http://schemas.openxmlformats.org/officeDocument/2006/relationships/hyperlink" Target="https://www.pradagroup.com/content/dam/pradagroup/documents/Responsabilita_sociale/2024/2024_%20Animal%20Welfare%20Policy_eng.pdf" TargetMode="External"/><Relationship Id="rId34" Type="http://schemas.openxmlformats.org/officeDocument/2006/relationships/hyperlink" Target="https://www.google.com/url?sa=t&amp;source=web&amp;rct=j&amp;opi=89978449&amp;url=https://services.chanel.com/i18n/en_WW/pdf/chanel_limited_financial_results_for_the_year_ended_31_december_2018.pdf&amp;ved=2ahUKEwiKnJTk57qQAxVH7AIHHVYgOPkQFnoECBcQAQ&amp;usg=AOvVaw1-CWBTSLyfKrNmGNXI5QSm" TargetMode="External"/><Relationship Id="rId180" Type="http://schemas.openxmlformats.org/officeDocument/2006/relationships/hyperlink" Target="https://www.pradagroup.com/content/dam/pradagroup/documents/Responsabilita_sociale/2025/Report-CSR-2024/E_2024%20Sustainability%20Report.pdf" TargetMode="External"/><Relationship Id="rId37" Type="http://schemas.openxmlformats.org/officeDocument/2006/relationships/hyperlink" Target="https://services.chanel.com/i18n/en_WW/pdf/Chanel-Climate-Publication.pdf" TargetMode="External"/><Relationship Id="rId176" Type="http://schemas.openxmlformats.org/officeDocument/2006/relationships/hyperlink" Target="https://www.ovscorporate.it/sites/default/files/documents/2025-07/ovs_annual_report_2024_eng_def.pdf" TargetMode="External"/><Relationship Id="rId36" Type="http://schemas.openxmlformats.org/officeDocument/2006/relationships/hyperlink" Target="https://www.google.com/url?sa=t&amp;source=web&amp;rct=j&amp;opi=89978449&amp;url=https://services.chanel.com/media/files/chanel_limited_financial_results_for_the_year_ended_31_december_2019.pdf&amp;ved=2ahUKEwiOzoy_5rqQAxVP7QIHHRdUFlwQFnoECBkQAQ&amp;usg=AOvVaw0QZfiva3SDAl--f3X7aVZu" TargetMode="External"/><Relationship Id="rId175" Type="http://schemas.openxmlformats.org/officeDocument/2006/relationships/hyperlink" Target="https://www.ovscorporate.it/sites/default/files/documents/2024-05/20240524_ovs_report_eng.pdf" TargetMode="External"/><Relationship Id="rId39" Type="http://schemas.openxmlformats.org/officeDocument/2006/relationships/hyperlink" Target="https://www.chanel.com/emea/img/prd-emea/sys-master/content/P1/hbe/hcc/10231577247774" TargetMode="External"/><Relationship Id="rId174" Type="http://schemas.openxmlformats.org/officeDocument/2006/relationships/hyperlink" Target="https://www.ovscorporate.it/sites/default/files/documents/2024-05/2022_ovs_consolidated_non-financial_statement.pdf" TargetMode="External"/><Relationship Id="rId38" Type="http://schemas.openxmlformats.org/officeDocument/2006/relationships/hyperlink" Target="https://services.chanel.com/media/files/Chanel_1_5-Performance-Update2021.pdf" TargetMode="External"/><Relationship Id="rId173" Type="http://schemas.openxmlformats.org/officeDocument/2006/relationships/hyperlink" Target="https://www.ovscorporate.it/sites/default/files/documents/2023-10/2021_ovs_consolidated_non-financial_statement.pdf" TargetMode="External"/><Relationship Id="rId179" Type="http://schemas.openxmlformats.org/officeDocument/2006/relationships/hyperlink" Target="https://www.pradagroup.com/content/dam/pradagroup/documents/Responsabilita_sociale/2024/Report-CSR-2023/e-Prada_Group_2023_Sustainability_Report.pdf" TargetMode="External"/><Relationship Id="rId178" Type="http://schemas.openxmlformats.org/officeDocument/2006/relationships/hyperlink" Target="https://www.pradagroup.com/content/dam/pradagroup/documents/Shareholderinformation/2023/inglese/annual-report-2022/e-Prada_Group_2022_Sustainability_Report.pdf" TargetMode="External"/><Relationship Id="rId177" Type="http://schemas.openxmlformats.org/officeDocument/2006/relationships/hyperlink" Target="https://www.pradagroup.com/content/dam/pradagroup/documents/Responsabilita_sociale/2022/e-Sustainability%20Report%202021.pdf" TargetMode="External"/><Relationship Id="rId20" Type="http://schemas.openxmlformats.org/officeDocument/2006/relationships/hyperlink" Target="https://www.adidas-group.com/en/sustainability/transparency/reporting/green-company-reports" TargetMode="External"/><Relationship Id="rId22" Type="http://schemas.openxmlformats.org/officeDocument/2006/relationships/hyperlink" Target="https://www.adidas-group.com/en/sustainability/transparency/reporting/green-company-reports" TargetMode="External"/><Relationship Id="rId21" Type="http://schemas.openxmlformats.org/officeDocument/2006/relationships/hyperlink" Target="https://www.adidas-group.com/en/sustainability/transparency/reporting/green-company-reports" TargetMode="External"/><Relationship Id="rId24" Type="http://schemas.openxmlformats.org/officeDocument/2006/relationships/hyperlink" Target="https://www.adidas-group.com/en/sustainability/transparency/reporting/green-company-reports" TargetMode="External"/><Relationship Id="rId23" Type="http://schemas.openxmlformats.org/officeDocument/2006/relationships/hyperlink" Target="https://www.adidas-group.com/en/sustainability/transparency/reporting/green-company-reports" TargetMode="External"/><Relationship Id="rId26" Type="http://schemas.openxmlformats.org/officeDocument/2006/relationships/hyperlink" Target="https://www.adidas-group.com/en/investors/financial-reports?tag=2024" TargetMode="External"/><Relationship Id="rId25" Type="http://schemas.openxmlformats.org/officeDocument/2006/relationships/hyperlink" Target="https://www.adidas-group.com/en/sustainability/transparency/reporting/green-company-reports" TargetMode="External"/><Relationship Id="rId28" Type="http://schemas.openxmlformats.org/officeDocument/2006/relationships/hyperlink" Target="https://armanivalues.com/wp-content/uploads/2022/01/Sustainability-Report-2019-Armani-Group-EN.pdf" TargetMode="External"/><Relationship Id="rId27" Type="http://schemas.openxmlformats.org/officeDocument/2006/relationships/hyperlink" Target="https://armanivalues.com/wp-content/uploads/2022/01/Sustainability-Report-2018-Armani-Group-EN.pdf" TargetMode="External"/><Relationship Id="rId29" Type="http://schemas.openxmlformats.org/officeDocument/2006/relationships/hyperlink" Target="https://armanivalues.com/wp-content/uploads/2022/01/Sustainability-Report-2020-Armani-Group-EN.pdf" TargetMode="External"/><Relationship Id="rId11" Type="http://schemas.openxmlformats.org/officeDocument/2006/relationships/hyperlink" Target="https://www.sustainabilityreports.com/adidas" TargetMode="External"/><Relationship Id="rId10" Type="http://schemas.openxmlformats.org/officeDocument/2006/relationships/hyperlink" Target="https://www.sustainabilityreports.com/adidas" TargetMode="External"/><Relationship Id="rId13" Type="http://schemas.openxmlformats.org/officeDocument/2006/relationships/hyperlink" Target="https://www.sustainabilityreports.com/adidas" TargetMode="External"/><Relationship Id="rId12" Type="http://schemas.openxmlformats.org/officeDocument/2006/relationships/hyperlink" Target="https://www.adidas-group.com/en/sustainability/transparency/reporting/green-company-reports" TargetMode="External"/><Relationship Id="rId15" Type="http://schemas.openxmlformats.org/officeDocument/2006/relationships/hyperlink" Target="https://www.sustainabilityreports.com/adidas" TargetMode="External"/><Relationship Id="rId198" Type="http://schemas.openxmlformats.org/officeDocument/2006/relationships/hyperlink" Target="https://www.sustainabilityreports.com/puma" TargetMode="External"/><Relationship Id="rId14" Type="http://schemas.openxmlformats.org/officeDocument/2006/relationships/hyperlink" Target="https://www.adidas-group.com/en/sustainability/transparency/reporting/green-company-reports" TargetMode="External"/><Relationship Id="rId197" Type="http://schemas.openxmlformats.org/officeDocument/2006/relationships/hyperlink" Target="https://www.greenpeace.de/publikationen/Greenpeace_Report_Greenwash_Danger_Zone.pdf" TargetMode="External"/><Relationship Id="rId17" Type="http://schemas.openxmlformats.org/officeDocument/2006/relationships/hyperlink" Target="https://www.adidas-group.com/en/investors/financial-reports?tag=2042" TargetMode="External"/><Relationship Id="rId196" Type="http://schemas.openxmlformats.org/officeDocument/2006/relationships/hyperlink" Target="https://primark.a.bigcontent.io/v1/static/Primark-Durability-Framework-2024" TargetMode="External"/><Relationship Id="rId16" Type="http://schemas.openxmlformats.org/officeDocument/2006/relationships/hyperlink" Target="https://www.adidas-group.com/en/sustainability/transparency/reporting/green-company-reports" TargetMode="External"/><Relationship Id="rId195" Type="http://schemas.openxmlformats.org/officeDocument/2006/relationships/hyperlink" Target="https://primark.a.bigcontent.io/v1/static/Primark-Sustainability-and-Ethics-Progress-Report-2023-2024" TargetMode="External"/><Relationship Id="rId19" Type="http://schemas.openxmlformats.org/officeDocument/2006/relationships/hyperlink" Target="https://www.adidas-group.com/en/sustainability/transparency/reporting/green-company-reports" TargetMode="External"/><Relationship Id="rId18" Type="http://schemas.openxmlformats.org/officeDocument/2006/relationships/hyperlink" Target="https://www.adidas-group.com/en/sustainability/transparency/reporting/green-company-reports" TargetMode="External"/><Relationship Id="rId199" Type="http://schemas.openxmlformats.org/officeDocument/2006/relationships/hyperlink" Target="https://about.puma.com/sites/default/files/documents/pdf/pumanachhaltigkeitbericht2002-en.pdf" TargetMode="External"/><Relationship Id="rId84" Type="http://schemas.openxmlformats.org/officeDocument/2006/relationships/hyperlink" Target="https://www.google.com/url?sa=t&amp;source=web&amp;rct=j&amp;opi=89978449&amp;url=https://assets-finance.hermes.com/s3fs-public/node/pdf_file/2020-06/hermes_2015_rapportannuel_en.pdf&amp;ved=2ahUKEwiZg8CslbOQAxXXgv0HHUvIAxkQFnoECA0QAQ&amp;usg=AOvVaw085nVVOmD2sLirrgcZY7iI" TargetMode="External"/><Relationship Id="rId83" Type="http://schemas.openxmlformats.org/officeDocument/2006/relationships/hyperlink" Target="https://www.google.com/url?sa=t&amp;source=web&amp;rct=j&amp;opi=89978449&amp;url=https://assets-finance.hermes.com/s3fs-public/node/pdf_file/2020-06/hermes_2014_rapportannuel_en.pdf&amp;ved=2ahUKEwjV2dfD6bqQAxWF2gIHHUYmMPAQFnoECBgQAQ&amp;usg=AOvVaw0uesAbAZm5TnMYumOiiZ7N" TargetMode="External"/><Relationship Id="rId86" Type="http://schemas.openxmlformats.org/officeDocument/2006/relationships/hyperlink" Target="https://www.google.com/url?sa=t&amp;source=web&amp;rct=j&amp;opi=89978449&amp;url=https://assets-finance.hermes.com/s3fs-public/node/pdf_file/2020-06/hermes_2017_rapportannuel_en.pdf&amp;ved=2ahUKEwjC19HQlrOQAxUd7wIHHbcyBS4QFnoECA0QAQ&amp;usg=AOvVaw0djhQkvI8LCeYfapJSJ8oH" TargetMode="External"/><Relationship Id="rId85" Type="http://schemas.openxmlformats.org/officeDocument/2006/relationships/hyperlink" Target="https://www.google.com/url?sa=t&amp;source=web&amp;rct=j&amp;opi=89978449&amp;url=https://assets-finance.hermes.com/s3fs-public/node/pdf_file/2020-06/hermes_2016_rapportannuel_en.pdf&amp;ved=2ahUKEwjV7cHKlrOQAxXo0AIHHTMbOXUQFnoECA0QAQ&amp;usg=AOvVaw0w7fHsmI--SeaMen0-WGMW" TargetMode="External"/><Relationship Id="rId88" Type="http://schemas.openxmlformats.org/officeDocument/2006/relationships/hyperlink" Target="https://www.google.com/url?sa=t&amp;source=web&amp;rct=j&amp;opi=89978449&amp;url=https://assets-hecate.hermes.com/s3fs-public/node/pdf_file/2020-07/1595280621/hermesinternational-urd-2019-en.pdf%3Fnull&amp;ved=2ahUKEwi-vP3clrOQAxXBzwIHHe8aLNwQFnoECA0QAQ&amp;usg=AOvVaw1-XA6UsElWcQTB1ICTThuW" TargetMode="External"/><Relationship Id="rId150" Type="http://schemas.openxmlformats.org/officeDocument/2006/relationships/hyperlink" Target="https://www.google.com/url?sa=t&amp;source=web&amp;rct=j&amp;opi=89978449&amp;url=https://www.annualreports.com/HostedData/AnnualReportArchive/l/OTC_LVMUY_2013.pdf&amp;ved=2ahUKEwif-JLM77yQAxVI1gIHHW7CIZ0QFnoECAwQAQ&amp;usg=AOvVaw2tMQd5PMoJTJDpaSvXOgfD" TargetMode="External"/><Relationship Id="rId271" Type="http://schemas.openxmlformats.org/officeDocument/2006/relationships/hyperlink" Target="https://corporate.zalando.com/en/people-planet/sustainability/sustainability-reports" TargetMode="External"/><Relationship Id="rId87" Type="http://schemas.openxmlformats.org/officeDocument/2006/relationships/hyperlink" Target="https://www.google.com/url?sa=t&amp;source=web&amp;rct=j&amp;opi=89978449&amp;url=https://assets-finance.hermes.com/s3fs-public/node/pdf_file/2020-06/hermes_2018_rapportannuel_en.pdf&amp;ved=2ahUKEwi0uPPVlrOQAxWZ3QIHHfS_KgYQFnoECA0QAQ&amp;usg=AOvVaw1JVNja9EKz_SansSerky76" TargetMode="External"/><Relationship Id="rId270" Type="http://schemas.openxmlformats.org/officeDocument/2006/relationships/hyperlink" Target="https://corporate.zalando.com/en/investor-relations/financial-reporting" TargetMode="External"/><Relationship Id="rId89" Type="http://schemas.openxmlformats.org/officeDocument/2006/relationships/hyperlink" Target="https://www.google.com/url?sa=t&amp;source=web&amp;rct=j&amp;opi=89978449&amp;url=https://assets-finance.hermes.com/s3fs-public/node/pdf_file/2021-04/1619702282/hermes-urd2020-en.pdf&amp;ved=2ahUKEwi7ts7plrOQAxVYwAIHHS-dGhUQFnoECAwQAQ&amp;usg=AOvVaw2V0t_fcXDTzwgvtZldidFt" TargetMode="External"/><Relationship Id="rId80" Type="http://schemas.openxmlformats.org/officeDocument/2006/relationships/hyperlink" Target="https://www.google.com/url?sa=t&amp;source=web&amp;rct=j&amp;opi=89978449&amp;url=https://www.bnains.org/archives/communiques/Hermes_International/20120412_Document_de_reference_2011_Hermes_International.pdf&amp;ved=2ahUKEwj_vruW67qQAxWzygIHHbslNvwQFnoECBkQAQ&amp;usg=AOvVaw3USiHl37fcagQPmsPMA-Mc" TargetMode="External"/><Relationship Id="rId82" Type="http://schemas.openxmlformats.org/officeDocument/2006/relationships/hyperlink" Target="https://www.google.com/url?sa=t&amp;source=web&amp;rct=j&amp;opi=89978449&amp;url=https://assets-finance.hermes.com/s3fs-public/node/pdf_file/2020-06/hermes_2013_rapportannuel_fr.pdf&amp;ved=2ahUKEwj4mOPV6bqQAxUDzwIHHd4PPCwQFnoECB4QAQ&amp;usg=AOvVaw3HojX_tkw7sFEKPcL6zG8c" TargetMode="External"/><Relationship Id="rId81" Type="http://schemas.openxmlformats.org/officeDocument/2006/relationships/hyperlink" Target="https://www.google.com/url?sa=t&amp;source=web&amp;rct=j&amp;opi=89978449&amp;url=https://assets-finance.hermes.com/s3fs-public/node/pdf_file/2020-04/hermes_2012_rapportannuel_fr.pdf&amp;ved=2ahUKEwiQv-fp6bqQAxUI1gIHHauhLqUQFnoECB0QAQ&amp;usg=AOvVaw0AZAK3SFFhzKFuJeW6k8gQ" TargetMode="External"/><Relationship Id="rId1" Type="http://schemas.openxmlformats.org/officeDocument/2006/relationships/hyperlink" Target="https://www.sustainabilityreports.com/adidas" TargetMode="External"/><Relationship Id="rId2" Type="http://schemas.openxmlformats.org/officeDocument/2006/relationships/hyperlink" Target="https://www.sustainabilityreports.com/adidas" TargetMode="External"/><Relationship Id="rId3" Type="http://schemas.openxmlformats.org/officeDocument/2006/relationships/hyperlink" Target="https://www.sustainabilityreports.com/adidas" TargetMode="External"/><Relationship Id="rId149" Type="http://schemas.openxmlformats.org/officeDocument/2006/relationships/hyperlink" Target="https://www.google.com/url?sa=t&amp;source=web&amp;rct=j&amp;opi=89978449&amp;url=https://www.annualreports.com/HostedData/AnnualReportArchive/l/OTC_LVMUY_2012.pdf&amp;ved=2ahUKEwjnlJTT77yQAxVR5AIHHQ61ALsQFnoECAsQAQ&amp;usg=AOvVaw0qL7uZUAZRGIUhUOaSTKgL" TargetMode="External"/><Relationship Id="rId4" Type="http://schemas.openxmlformats.org/officeDocument/2006/relationships/hyperlink" Target="https://www.adidas-group.com/en/investors/financial-reports?tag=2024" TargetMode="External"/><Relationship Id="rId148" Type="http://schemas.openxmlformats.org/officeDocument/2006/relationships/hyperlink" Target="https://www.google.com/url?sa=t&amp;source=web&amp;rct=j&amp;opi=89978449&amp;url=https://www.annualreports.com/HostedData/AnnualReportArchive/l/OTC_LVMUY_2011.pdf&amp;ved=2ahUKEwi2-t7b77yQAxXk4wIHHd5wIAsQFnoECAsQAQ&amp;usg=AOvVaw1Bm4n4HVcD19u1_DnhXxqq" TargetMode="External"/><Relationship Id="rId269" Type="http://schemas.openxmlformats.org/officeDocument/2006/relationships/hyperlink" Target="https://corporate.zalando.com/en/people-planet/sustainability/sustainability-reports" TargetMode="External"/><Relationship Id="rId9" Type="http://schemas.openxmlformats.org/officeDocument/2006/relationships/hyperlink" Target="https://www.sustainabilityreports.com/adidas" TargetMode="External"/><Relationship Id="rId143" Type="http://schemas.openxmlformats.org/officeDocument/2006/relationships/hyperlink" Target="https://www.google.com/url?sa=t&amp;source=web&amp;rct=j&amp;opi=89978449&amp;url=https://www.annualreports.com/HostedData/AnnualReportArchive/l/OTC_LVMUY_2006.pdf&amp;ved=2ahUKEwi36ZTL8byQAxWs2QIHHSyKGGAQFnoECAsQAQ&amp;usg=AOvVaw0O58VjA55qy5PmlRc9shfQ" TargetMode="External"/><Relationship Id="rId264" Type="http://schemas.openxmlformats.org/officeDocument/2006/relationships/hyperlink" Target="https://corporate.zalando.com/en/investor-relations/financial-reporting" TargetMode="External"/><Relationship Id="rId142" Type="http://schemas.openxmlformats.org/officeDocument/2006/relationships/hyperlink" Target="https://www.google.com/url?sa=t&amp;source=web&amp;rct=j&amp;opi=89978449&amp;url=https://www.annualreports.com/HostedData/AnnualReportArchive/l/OTC_LVMUY_2005.pdf&amp;ved=2ahUKEwj7xufe8byQAxV4-wIHHXPwJeoQFnoECAwQAQ&amp;usg=AOvVaw34A9R4FSyxgjFohfoVZgUK" TargetMode="External"/><Relationship Id="rId263" Type="http://schemas.openxmlformats.org/officeDocument/2006/relationships/hyperlink" Target="https://corporate.zalando.com/en/people-planet/sustainability/sustainability-reports" TargetMode="External"/><Relationship Id="rId141" Type="http://schemas.openxmlformats.org/officeDocument/2006/relationships/hyperlink" Target="https://www.google.com/url?sa=t&amp;source=web&amp;rct=j&amp;opi=89978449&amp;url=https://www.annualreports.com/HostedData/AnnualReportArchive/l/OTC_LVMUY_2004.pdf&amp;ved=2ahUKEwior5z28byQAxV39QIHHfoTN4EQFnoECAsQAQ&amp;usg=AOvVaw04n6_Lux5QWHT-iLHqmGjs" TargetMode="External"/><Relationship Id="rId262" Type="http://schemas.openxmlformats.org/officeDocument/2006/relationships/hyperlink" Target="https://corporate.zalando.com/en/investor-relations/financial-reporting" TargetMode="External"/><Relationship Id="rId140" Type="http://schemas.openxmlformats.org/officeDocument/2006/relationships/hyperlink" Target="https://www.google.com/url?sa=t&amp;source=web&amp;rct=j&amp;opi=89978449&amp;url=https://www.annualreports.com/HostedData/AnnualReportArchive/l/OTC_LVMUY_2003.pdf&amp;ved=2ahUKEwjrmd-E8ryQAxUgzwIHHQUdMUUQFnoECAwQAQ&amp;usg=AOvVaw3-OSd1Nwnzyvfk1OS59kVh" TargetMode="External"/><Relationship Id="rId261" Type="http://schemas.openxmlformats.org/officeDocument/2006/relationships/hyperlink" Target="https://corporate.zalando.com/en/investor-relations/financial-reporting" TargetMode="External"/><Relationship Id="rId5" Type="http://schemas.openxmlformats.org/officeDocument/2006/relationships/hyperlink" Target="https://www.sustainabilityreports.com/adidas" TargetMode="External"/><Relationship Id="rId147" Type="http://schemas.openxmlformats.org/officeDocument/2006/relationships/hyperlink" Target="https://www.google.com/url?sa=t&amp;source=web&amp;rct=j&amp;opi=89978449&amp;url=https://www.annualreports.com/HostedData/AnnualReportArchive/l/OTC_LVMUY_2010.pdf&amp;ved=2ahUKEwiBpuHS8LyQAxV--AIHHRLGBegQFnoECAwQAQ&amp;usg=AOvVaw3gIH2d7hNm4zloKi3kQ3xc" TargetMode="External"/><Relationship Id="rId268" Type="http://schemas.openxmlformats.org/officeDocument/2006/relationships/hyperlink" Target="https://corporate.zalando.com/en/investor-relations/financial-reporting" TargetMode="External"/><Relationship Id="rId6" Type="http://schemas.openxmlformats.org/officeDocument/2006/relationships/hyperlink" Target="https://www.sustainabilityreports.com/adidas" TargetMode="External"/><Relationship Id="rId146" Type="http://schemas.openxmlformats.org/officeDocument/2006/relationships/hyperlink" Target="https://www.google.com/url?sa=t&amp;source=web&amp;rct=j&amp;opi=89978449&amp;url=https://www.annualreports.com/HostedData/AnnualReportArchive/l/OTC_LVMUY_2009.pdf&amp;ved=2ahUKEwjk7Nzm8LyQAxX60QIHHc3qLqQQFnoECAwQAQ&amp;usg=AOvVaw35zAxS549T0xFqr2UpgkIi" TargetMode="External"/><Relationship Id="rId267" Type="http://schemas.openxmlformats.org/officeDocument/2006/relationships/hyperlink" Target="https://corporate.zalando.com/en/people-planet/sustainability/sustainability-reports" TargetMode="External"/><Relationship Id="rId7" Type="http://schemas.openxmlformats.org/officeDocument/2006/relationships/hyperlink" Target="https://www.sustainabilityreports.com/adidas" TargetMode="External"/><Relationship Id="rId145" Type="http://schemas.openxmlformats.org/officeDocument/2006/relationships/hyperlink" Target="https://www.google.com/url?sa=t&amp;source=web&amp;rct=j&amp;opi=89978449&amp;url=https://www.annualreports.com/HostedData/AnnualReportArchive/l/OTC_LVMUY_2008.pdf&amp;ved=2ahUKEwic6s2o8byQAxXs3AIHHdgUI0IQFnoECAwQAQ&amp;usg=AOvVaw1AL5GjpDLerVZRWwKa9wx3" TargetMode="External"/><Relationship Id="rId266" Type="http://schemas.openxmlformats.org/officeDocument/2006/relationships/hyperlink" Target="https://corporate.zalando.com/en/investor-relations/financial-reporting" TargetMode="External"/><Relationship Id="rId8" Type="http://schemas.openxmlformats.org/officeDocument/2006/relationships/hyperlink" Target="https://www.sustainabilityreports.com/adidas" TargetMode="External"/><Relationship Id="rId144" Type="http://schemas.openxmlformats.org/officeDocument/2006/relationships/hyperlink" Target="https://www.google.com/url?sa=t&amp;source=web&amp;rct=j&amp;opi=89978449&amp;url=https://ddd.uab.cat/pub/infanu/30082/iaLVMHa2007ieng.pdf&amp;ved=2ahUKEwiYmfm58byQAxU62AIHHYA-EX4QFnoECAwQAQ&amp;usg=AOvVaw1jPM5D3IfDROJIys4GDTRW" TargetMode="External"/><Relationship Id="rId265" Type="http://schemas.openxmlformats.org/officeDocument/2006/relationships/hyperlink" Target="https://corporate.zalando.com/en/people-planet/sustainability/sustainability-reports" TargetMode="External"/><Relationship Id="rId73" Type="http://schemas.openxmlformats.org/officeDocument/2006/relationships/hyperlink" Target="https://hmgroup.com/sustainability/sustainability-reporting/" TargetMode="External"/><Relationship Id="rId72" Type="http://schemas.openxmlformats.org/officeDocument/2006/relationships/hyperlink" Target="https://hmgroup.com/sustainability/sustainability-reporting/" TargetMode="External"/><Relationship Id="rId75" Type="http://schemas.openxmlformats.org/officeDocument/2006/relationships/hyperlink" Target="https://www.google.com/url?sa=t&amp;source=web&amp;rct=j&amp;opi=89978449&amp;url=https://www.bnains.org/archives/communiques/Hermes_International/20070426_Document_de_reference_2006_Hermes_International.pdf&amp;ved=2ahUKEwiM1crO6ryQAxX33gIHHVYZFf8QFnoECBsQAQ&amp;usg=AOvVaw1veK1MF2jw-66gd2hGgJYU" TargetMode="External"/><Relationship Id="rId74" Type="http://schemas.openxmlformats.org/officeDocument/2006/relationships/hyperlink" Target="https://www.google.com/url?sa=t&amp;source=web&amp;rct=j&amp;opi=89978449&amp;url=https://www.bnains.org/archives/communiques/Hermes_International/20060427_Document_de_reference_2005_Hermes_International.pdf&amp;ved=2ahUKEwjRwM686ryQAxX70AIHHWDEFioQFnoECBsQAQ&amp;usg=AOvVaw1GFQvFXYBuGLZRgO8l6yx1" TargetMode="External"/><Relationship Id="rId77" Type="http://schemas.openxmlformats.org/officeDocument/2006/relationships/hyperlink" Target="https://www.google.com/url?sa=t&amp;source=web&amp;rct=j&amp;opi=89978449&amp;url=https://www.bnains.org/archives/communiques/Hermes_International/20090409_Document_de_reference_2008_Hermes_International.pdf&amp;ved=2ahUKEwim7Ie167yQAxVNyQIHHRB-A40QFnoECB8QAQ&amp;usg=AOvVaw0gdQ_Pak3e7r-Q24td0ymj" TargetMode="External"/><Relationship Id="rId260" Type="http://schemas.openxmlformats.org/officeDocument/2006/relationships/hyperlink" Target="https://corporate.zalando.com/en/investor-relations/financial-reporting" TargetMode="External"/><Relationship Id="rId76" Type="http://schemas.openxmlformats.org/officeDocument/2006/relationships/hyperlink" Target="https://www.google.com/url?sa=t&amp;source=web&amp;rct=j&amp;opi=89978449&amp;url=https://www.bnains.org/archives/communiques/Hermes_International/20080414_Document_de_reference_2007_Hermes_International.pdf&amp;ved=2ahUKEwjW1uDX6ryQAxWD2gIHHaIVHJ4QFnoECBkQAQ&amp;usg=AOvVaw1U2ekg6e36R4SSbUTCsxKL" TargetMode="External"/><Relationship Id="rId79" Type="http://schemas.openxmlformats.org/officeDocument/2006/relationships/hyperlink" Target="https://www.google.com/url?sa=t&amp;source=web&amp;rct=j&amp;opi=89978449&amp;url=https://assets-finance.hermes.com/s3fs-public/node/pdf_file/2020-06/hermes_2010_rapportannuel_en.pdf&amp;ved=2ahUKEwijs_fk6rqQAxXJ2wIHHarYBBgQFnoECAQQAQ&amp;usg=AOvVaw1jQUD782Xkj_MeStdLX9P4" TargetMode="External"/><Relationship Id="rId78" Type="http://schemas.openxmlformats.org/officeDocument/2006/relationships/hyperlink" Target="https://www.google.com/url?sa=t&amp;source=web&amp;rct=j&amp;opi=89978449&amp;url=https://www.bnains.org/archives/communiques/Hermes_International/20100414_Document_de_reference_2009_Hermes_International.pdf&amp;ved=2ahUKEwjhn_Gt67qQAxVI9QIHHVQ8F1QQFnoECBsQAQ&amp;usg=AOvVaw3_itgWrmg6XIgEfsBQ440h" TargetMode="External"/><Relationship Id="rId71" Type="http://schemas.openxmlformats.org/officeDocument/2006/relationships/hyperlink" Target="https://hmgroup.com/sustainability/sustainability-reporting/" TargetMode="External"/><Relationship Id="rId70" Type="http://schemas.openxmlformats.org/officeDocument/2006/relationships/hyperlink" Target="https://hmgroup.com/sustainability/sustainability-reporting/" TargetMode="External"/><Relationship Id="rId139" Type="http://schemas.openxmlformats.org/officeDocument/2006/relationships/hyperlink" Target="https://www.google.com/url?sa=t&amp;source=web&amp;rct=j&amp;opi=89978449&amp;url=https://www.annualreports.com/HostedData/AnnualReportArchive/l/OTC_LVMUY_2002.pdf&amp;ved=2ahUKEwjo-YKT8ryQAxXp2AIHHTL9O-wQFnoECAwQAQ&amp;usg=AOvVaw3GbMkP8TVOIyRocVYllG8E" TargetMode="External"/><Relationship Id="rId138" Type="http://schemas.openxmlformats.org/officeDocument/2006/relationships/hyperlink" Target="https://www.google.com/url?sa=t&amp;source=web&amp;rct=j&amp;opi=89978449&amp;url=https://ddd.uab.cat/pub/infanu/30082/iaLVMHa2001ieng.pdf&amp;ved=2ahUKEwiXk6_K8ryQAxUO3QIHHaQTJRwQFnoECAwQAQ&amp;usg=AOvVaw1utuq7LmaOVncKnCcSQnI0" TargetMode="External"/><Relationship Id="rId259" Type="http://schemas.openxmlformats.org/officeDocument/2006/relationships/hyperlink" Target="https://corporate.zalando.com/en/investor-relations/financial-reporting" TargetMode="External"/><Relationship Id="rId137" Type="http://schemas.openxmlformats.org/officeDocument/2006/relationships/hyperlink" Target="https://www.google.com/url?sa=t&amp;source=web&amp;rct=j&amp;opi=89978449&amp;url=https://ddd.uab.cat/pub/infanu/30082/iaLVMHa2000ieng.pdf&amp;ved=2ahUKEwjQ2u3Y8ryQAxWg8QIHHa3pLoAQFnoECAsQAQ&amp;usg=AOvVaw1JXJiJSYnp9pFEeLRugx73" TargetMode="External"/><Relationship Id="rId258" Type="http://schemas.openxmlformats.org/officeDocument/2006/relationships/hyperlink" Target="https://corporate.zalando.com/en/investor-relations/financial-reporting" TargetMode="External"/><Relationship Id="rId132" Type="http://schemas.openxmlformats.org/officeDocument/2006/relationships/hyperlink" Target="https://www.loreal-finance.com/eng/2022-universal-registration-document/en/article/231/" TargetMode="External"/><Relationship Id="rId253" Type="http://schemas.openxmlformats.org/officeDocument/2006/relationships/hyperlink" Target="https://sustainability.ferragamo.com/resource/blob/784260/7a68e5ad0177b6c48c2c4578a4a9f5fa/2022-ferragamo-annual-report-data.pdf?UNDEFINED" TargetMode="External"/><Relationship Id="rId131" Type="http://schemas.openxmlformats.org/officeDocument/2006/relationships/hyperlink" Target="https://www.google.com/url?sa=t&amp;source=web&amp;rct=j&amp;opi=89978449&amp;url=https://www.loreal.com/-/media/project/loreal/brand-sites/corp/master/lcorp/documents-media/publications/annual-reports/loreal2021universalregistrationdocumenten0.pdf%3Frev%3D9fbd57c5228f4695a77e2591265d3797&amp;ved=2ahUKEwi28u6zjrOQAxVBWf4FHUHUFtUQFnoECBoQAQ&amp;usg=AOvVaw2MYmenrBdtph8lSfxmZJ0H" TargetMode="External"/><Relationship Id="rId252" Type="http://schemas.openxmlformats.org/officeDocument/2006/relationships/hyperlink" Target="https://sustainability.ferragamo.com/resource/blob/587978/4df1645dd18279b0b21ef35ed5067898/annual-report-ferragamo-2021-eng-data.pdf?UNDEFINED" TargetMode="External"/><Relationship Id="rId130" Type="http://schemas.openxmlformats.org/officeDocument/2006/relationships/hyperlink" Target="https://www.google.com/url?sa=t&amp;source=web&amp;rct=j&amp;opi=89978449&amp;url=https://www.loreal.com/-/media/project/loreal/brand-sites/corp/master/lcorp/articles-media/2025-l4tf-policies/6th-may/loreal-for-the-future-booklet--april-2025.pdf%3Frev%3Dc75b87699eb14a178e93c6f8943cfb7a&amp;ved=2ahUKEwjp28CmjrOQAxXWxAIHHQj8E9cQFnoECBcQAQ&amp;usg=AOvVaw1cvXkF6-UbFwGI-Weq9lMk" TargetMode="External"/><Relationship Id="rId251" Type="http://schemas.openxmlformats.org/officeDocument/2006/relationships/hyperlink" Target="https://sustainability.ferragamo.com/resource/blob/434680/66addbd448d317176730e320c2fe9cda/annual-report-ferragamo-2020-eng-data.pdf?UNDEFINED" TargetMode="External"/><Relationship Id="rId250" Type="http://schemas.openxmlformats.org/officeDocument/2006/relationships/hyperlink" Target="https://sustainability.ferragamo.com/resource/blob/397964/8272df63cc5812356242c3fb5f877663/2019-sustainability-report-salvatore-ferragamo-data.pdf?UNDEFINED" TargetMode="External"/><Relationship Id="rId136" Type="http://schemas.openxmlformats.org/officeDocument/2006/relationships/hyperlink" Target="https://www.google.com/url?sa=t&amp;source=web&amp;rct=j&amp;opi=89978449&amp;url=https://ddd.uab.cat/pub/infanu/30082/iaLVMHa1999ieng.pdf&amp;ved=2ahUKEwi02cTq8ryQAxXt0AIHHW2DFpkQFnoECAwQAQ&amp;usg=AOvVaw3vb61TmhtgLh9u9RBja6qX" TargetMode="External"/><Relationship Id="rId257" Type="http://schemas.openxmlformats.org/officeDocument/2006/relationships/hyperlink" Target="https://corporate.zalando.com/en/investor-relations/financial-reporting" TargetMode="External"/><Relationship Id="rId135" Type="http://schemas.openxmlformats.org/officeDocument/2006/relationships/hyperlink" Target="https://www.google.com/url?sa=t&amp;source=web&amp;rct=j&amp;opi=89978449&amp;url=https://www.bnains.org/archives/communiques/LVMH/19990408_Document_de_reference_1998_LVMH.pdf&amp;ved=2ahUKEwiDtMuD87yQAxUr-QIHHRB4AdcQFnoECCEQAQ&amp;usg=AOvVaw00vjpbypcjoi8g6XwffSLb" TargetMode="External"/><Relationship Id="rId256" Type="http://schemas.openxmlformats.org/officeDocument/2006/relationships/hyperlink" Target="https://corporate.zalando.com/en/investor-relations/financial-reporting" TargetMode="External"/><Relationship Id="rId134" Type="http://schemas.openxmlformats.org/officeDocument/2006/relationships/hyperlink" Target="https://www.loreal-finance.com/system/files/2025-03/2024_Universal_Registration_Document_LOREAL.pdf" TargetMode="External"/><Relationship Id="rId255" Type="http://schemas.openxmlformats.org/officeDocument/2006/relationships/hyperlink" Target="https://sustainability.ferragamo.com/resource/blob/1036188/46223522044d6167a3897d3f187263b1/ferragamo-annual-report-2024-doppie-eng-data.pdf?UNDEFINED" TargetMode="External"/><Relationship Id="rId133" Type="http://schemas.openxmlformats.org/officeDocument/2006/relationships/hyperlink" Target="https://www.loreal-finance.com/en/annual-report-2023/" TargetMode="External"/><Relationship Id="rId254" Type="http://schemas.openxmlformats.org/officeDocument/2006/relationships/hyperlink" Target="https://sustainability.ferragamo.com/resource/blob/887206/e33285df62d1e6dc58a890015dcd79e4/ferragamo-eng-2023-singlepg-data.pdf?UNDEFINED" TargetMode="External"/><Relationship Id="rId62" Type="http://schemas.openxmlformats.org/officeDocument/2006/relationships/hyperlink" Target="https://hmgroup.com/sustainability/sustainability-reporting/" TargetMode="External"/><Relationship Id="rId61" Type="http://schemas.openxmlformats.org/officeDocument/2006/relationships/hyperlink" Target="https://hmgroup.com/sustainability/sustainability-reporting/" TargetMode="External"/><Relationship Id="rId64" Type="http://schemas.openxmlformats.org/officeDocument/2006/relationships/hyperlink" Target="https://hmgroup.com/sustainability/sustainability-reporting/" TargetMode="External"/><Relationship Id="rId63" Type="http://schemas.openxmlformats.org/officeDocument/2006/relationships/hyperlink" Target="https://hmgroup.com/sustainability/sustainability-reporting/" TargetMode="External"/><Relationship Id="rId66" Type="http://schemas.openxmlformats.org/officeDocument/2006/relationships/hyperlink" Target="https://hmgroup.com/sustainability/sustainability-reporting/" TargetMode="External"/><Relationship Id="rId172" Type="http://schemas.openxmlformats.org/officeDocument/2006/relationships/hyperlink" Target="https://www.ovscorporate.it/sites/default/files/documents/2023-10/2020_ovs_consolidated_non-financial_statement.pdf" TargetMode="External"/><Relationship Id="rId65" Type="http://schemas.openxmlformats.org/officeDocument/2006/relationships/hyperlink" Target="https://hmgroup.com/sustainability/sustainability-reporting/" TargetMode="External"/><Relationship Id="rId171" Type="http://schemas.openxmlformats.org/officeDocument/2006/relationships/hyperlink" Target="https://www.ovscorporate.it/sites/default/files/documents/2023-10/2019_ovs_consolidated_non-financial_statement.pdf" TargetMode="External"/><Relationship Id="rId68" Type="http://schemas.openxmlformats.org/officeDocument/2006/relationships/hyperlink" Target="https://hmgroup.com/sustainability/sustainability-reporting/" TargetMode="External"/><Relationship Id="rId170" Type="http://schemas.openxmlformats.org/officeDocument/2006/relationships/hyperlink" Target="https://www.ovscorporate.it/sites/default/files/documents/2023-10/2018_ovs_annual_report.pdf" TargetMode="External"/><Relationship Id="rId67" Type="http://schemas.openxmlformats.org/officeDocument/2006/relationships/hyperlink" Target="https://hmgroup.com/sustainability/sustainability-reporting/" TargetMode="External"/><Relationship Id="rId60" Type="http://schemas.openxmlformats.org/officeDocument/2006/relationships/hyperlink" Target="https://hmgroup.com/sustainability/sustainability-reporting/" TargetMode="External"/><Relationship Id="rId165" Type="http://schemas.openxmlformats.org/officeDocument/2006/relationships/hyperlink" Target="https://www.monclergroup.com/wp-content/uploads/2023/06/Consolidated-Non-Financial-Statement-2022.pdf" TargetMode="External"/><Relationship Id="rId69" Type="http://schemas.openxmlformats.org/officeDocument/2006/relationships/hyperlink" Target="https://hmgroup.com/sustainability/sustainability-reporting/" TargetMode="External"/><Relationship Id="rId164" Type="http://schemas.openxmlformats.org/officeDocument/2006/relationships/hyperlink" Target="https://www.mangofashiongroup.com/impacto-medioambiental?p_p_id=com_liferay_portal_search_web_search_results_portlet_SearchResultsPortlet&amp;p_p_lifecycle=0&amp;p_p_state=maximized&amp;p_p_mode=view&amp;_com_liferay_portal_search_web_search_results_portlet_SearchResultsPortlet_redirect=https%3A%2F%2Fwww.mangofashiongroup.com%2Fimpacto-medioambiental&amp;_com_liferay_portal_search_web_search_results_portlet_SearchResultsPortlet_mvcPath=%2Fview_content.jsp&amp;_com_liferay_portal_search_web_search_results_portlet_SearchResultsPortlet_assetEntryId=291908&amp;_com_liferay_portal_search_web_search_results_portlet_SearchResultsPortlet_type=document&amp;p_p_auth=cIt6Jzdd&amp;p_l_back_url=https%3A%2F%2Fwww.mangofashiongroup.com%2Fimpacto-medioambiental&amp;p_l_back_url_title=Impacto+medioambiental" TargetMode="External"/><Relationship Id="rId163" Type="http://schemas.openxmlformats.org/officeDocument/2006/relationships/hyperlink" Target="https://st.mngbcn.com/web/oi/servicios/rsc/pdf/ES/mem/mem2017.pdf" TargetMode="External"/><Relationship Id="rId162" Type="http://schemas.openxmlformats.org/officeDocument/2006/relationships/hyperlink" Target="https://st.mngbcn.com/web/oi/servicios/rsc/pdf/ES/mem/mem2015.pdf" TargetMode="External"/><Relationship Id="rId169" Type="http://schemas.openxmlformats.org/officeDocument/2006/relationships/hyperlink" Target="https://www.ovscorporate.it/sites/default/files/documents/2023-10/2017_ovs_bilancio_annuale.pdf" TargetMode="External"/><Relationship Id="rId168" Type="http://schemas.openxmlformats.org/officeDocument/2006/relationships/hyperlink" Target="https://www.ovscorporate.it/sites/default/files/documents/2023-10/2016_ovs_consolidated_non-financial_statement.pdf" TargetMode="External"/><Relationship Id="rId167" Type="http://schemas.openxmlformats.org/officeDocument/2006/relationships/hyperlink" Target="https://www.monclergroup.com/wp-content/uploads/2025/04/moncler-group-annual-report-2024.pdf" TargetMode="External"/><Relationship Id="rId166" Type="http://schemas.openxmlformats.org/officeDocument/2006/relationships/hyperlink" Target="https://www.monclergroup.com/wp-content/uploads/2024/05/2023-Consolidated-non-Financial-Statement.pdf" TargetMode="External"/><Relationship Id="rId51" Type="http://schemas.openxmlformats.org/officeDocument/2006/relationships/hyperlink" Target="https://hmgroup.com/sustainability/sustainability-reporting/" TargetMode="External"/><Relationship Id="rId50" Type="http://schemas.openxmlformats.org/officeDocument/2006/relationships/hyperlink" Target="https://hmgroup.com/sustainability/sustainability-reporting/" TargetMode="External"/><Relationship Id="rId53" Type="http://schemas.openxmlformats.org/officeDocument/2006/relationships/hyperlink" Target="https://hmgroup.com/sustainability/sustainability-reporting/" TargetMode="External"/><Relationship Id="rId52" Type="http://schemas.openxmlformats.org/officeDocument/2006/relationships/hyperlink" Target="https://hmgroup.com/sustainability/sustainability-reporting/" TargetMode="External"/><Relationship Id="rId55" Type="http://schemas.openxmlformats.org/officeDocument/2006/relationships/hyperlink" Target="https://hmgroup.com/sustainability/sustainability-reporting/" TargetMode="External"/><Relationship Id="rId161" Type="http://schemas.openxmlformats.org/officeDocument/2006/relationships/hyperlink" Target="https://lvmh-com.cdn.prismic.io/lvmh-com/aF5xp3fc4bHWix6S_LVMH_Commited_to_positive_impact-2024.pdf" TargetMode="External"/><Relationship Id="rId54" Type="http://schemas.openxmlformats.org/officeDocument/2006/relationships/hyperlink" Target="https://hmgroup.com/sustainability/sustainability-reporting/" TargetMode="External"/><Relationship Id="rId160" Type="http://schemas.openxmlformats.org/officeDocument/2006/relationships/hyperlink" Target="https://lvmh-com.cdn.prismic.io/lvmh-com/Z0SdsK8jQArT1SPS_0724_LVMH23T047_RSE2023_GB-accessible_compressed.pdf" TargetMode="External"/><Relationship Id="rId57" Type="http://schemas.openxmlformats.org/officeDocument/2006/relationships/hyperlink" Target="https://hmgroup.com/sustainability/sustainability-reporting/" TargetMode="External"/><Relationship Id="rId56" Type="http://schemas.openxmlformats.org/officeDocument/2006/relationships/hyperlink" Target="https://hmgroup.com/sustainability/sustainability-reporting/" TargetMode="External"/><Relationship Id="rId159" Type="http://schemas.openxmlformats.org/officeDocument/2006/relationships/hyperlink" Target="https://lvmh-com.cdn.prismic.io/lvmh-com/ZmsBDpm069VX1uOs_lvmh_rse_2022_gb_pp_e-accessible.pdf" TargetMode="External"/><Relationship Id="rId59" Type="http://schemas.openxmlformats.org/officeDocument/2006/relationships/hyperlink" Target="https://hmgroup.com/sustainability/sustainability-reporting/" TargetMode="External"/><Relationship Id="rId154" Type="http://schemas.openxmlformats.org/officeDocument/2006/relationships/hyperlink" Target="https://www.lvmh.com/proxyApi/v1/wordpress/attachment/lvmh_environment_2017en.pdf" TargetMode="External"/><Relationship Id="rId58" Type="http://schemas.openxmlformats.org/officeDocument/2006/relationships/hyperlink" Target="https://hmgroup.com/sustainability/sustainability-reporting/" TargetMode="External"/><Relationship Id="rId153" Type="http://schemas.openxmlformats.org/officeDocument/2006/relationships/hyperlink" Target="https://www.lvmh.com/proxyApi/v1/wordpress/attachment/lvmh_rapport-environment_2016en.pdf" TargetMode="External"/><Relationship Id="rId274" Type="http://schemas.openxmlformats.org/officeDocument/2006/relationships/table" Target="../tables/table3.xml"/><Relationship Id="rId152" Type="http://schemas.openxmlformats.org/officeDocument/2006/relationships/hyperlink" Target="https://www.google.com/url?sa=t&amp;source=web&amp;rct=j&amp;opi=89978449&amp;url=https://www.annualreports.com/HostedData/AnnualReportArchive/l/OTC_LVMUY_2015.pdf&amp;ved=2ahUKEwjCtcHd7ryQAxVE2AIHHdjDE1oQFnoECAsQAQ&amp;usg=AOvVaw1VlBjfG9MCZrIZ0prifuCp" TargetMode="External"/><Relationship Id="rId151" Type="http://schemas.openxmlformats.org/officeDocument/2006/relationships/hyperlink" Target="https://www.google.com/url?sa=t&amp;source=web&amp;rct=j&amp;opi=89978449&amp;url=https://www.annualreports.com/HostedData/AnnualReportArchive/l/OTC_LVMUY_2014.pdf&amp;ved=2ahUKEwjzwN-t77yQAxUV0AIHHRlSFjUQFnoECBsQAQ&amp;usg=AOvVaw2I0fQ5rhpwxqX1UKuupcZE" TargetMode="External"/><Relationship Id="rId272" Type="http://schemas.openxmlformats.org/officeDocument/2006/relationships/drawing" Target="../drawings/drawing4.xml"/><Relationship Id="rId158" Type="http://schemas.openxmlformats.org/officeDocument/2006/relationships/hyperlink" Target="https://lvmh-com.cdn.prismic.io/lvmh-com/ZoRN-R5LeNNTwuna_uk_lvmh_rse21_digital-accessible-may22.pdf" TargetMode="External"/><Relationship Id="rId157" Type="http://schemas.openxmlformats.org/officeDocument/2006/relationships/hyperlink" Target="https://www.lvmh.com/proxyApi/v1/wordpress/attachment/lvmh_rapport-annuel-2020-va.pdf" TargetMode="External"/><Relationship Id="rId156" Type="http://schemas.openxmlformats.org/officeDocument/2006/relationships/hyperlink" Target="https://lvmh-com.cdn.prismic.io/lvmh-com/ZnP-SJm069VX16Tu_lvmh_ra_responsabilite-environnementale_2019_en.pdf" TargetMode="External"/><Relationship Id="rId155" Type="http://schemas.openxmlformats.org/officeDocument/2006/relationships/hyperlink" Target="https://ddd.uab.cat/pub/infsos/39663/isLVMHa2018ieng.pdf" TargetMode="External"/><Relationship Id="rId107" Type="http://schemas.openxmlformats.org/officeDocument/2006/relationships/hyperlink" Target="https://drive.google.com/file/d/1erx9WGreK4VGGY43ZDSAaTwg759-r9_7/view?usp=drive_link" TargetMode="External"/><Relationship Id="rId228" Type="http://schemas.openxmlformats.org/officeDocument/2006/relationships/hyperlink" Target="https://www.sustainabilityreports.com/puma" TargetMode="External"/><Relationship Id="rId106" Type="http://schemas.openxmlformats.org/officeDocument/2006/relationships/hyperlink" Target="https://drive.google.com/file/d/1DMBFKqal1s9aiNgcrDlXc-qCw_ShU1__/view?usp=drive_link" TargetMode="External"/><Relationship Id="rId227" Type="http://schemas.openxmlformats.org/officeDocument/2006/relationships/hyperlink" Target="https://www.sustainabilityreports.com/puma" TargetMode="External"/><Relationship Id="rId105" Type="http://schemas.openxmlformats.org/officeDocument/2006/relationships/hyperlink" Target="https://drive.google.com/file/d/1QvC-hQlXIblijqQUZABWuPWbfG-m8wVd/view?usp=drive_link" TargetMode="External"/><Relationship Id="rId226" Type="http://schemas.openxmlformats.org/officeDocument/2006/relationships/hyperlink" Target="https://about.puma.com/sites/default/files/documents/pdf/en-puma-gb2018-all.pdf" TargetMode="External"/><Relationship Id="rId104" Type="http://schemas.openxmlformats.org/officeDocument/2006/relationships/hyperlink" Target="https://static.inditex.com/annual_report_2021/es/documentos/estado-de-informacion-no-financiera-2021.pdf" TargetMode="External"/><Relationship Id="rId225" Type="http://schemas.openxmlformats.org/officeDocument/2006/relationships/hyperlink" Target="https://www.sustainabilityreports.com/puma" TargetMode="External"/><Relationship Id="rId109" Type="http://schemas.openxmlformats.org/officeDocument/2006/relationships/hyperlink" Target="https://www.google.com/url?sa=t&amp;source=web&amp;rct=j&amp;opi=89978449&amp;url=https://www.bnains.org/archives/communiques/L_Oreal/20020506_Document_de_reference_2001_L_Oreal.pdf&amp;ved=2ahUKEwiUgqTS7byQAxUAzwIHHfHeIt8QFnoECBgQAQ&amp;usg=AOvVaw0WZRDCMo7giXXebuqkGTHs" TargetMode="External"/><Relationship Id="rId108" Type="http://schemas.openxmlformats.org/officeDocument/2006/relationships/hyperlink" Target="https://www.inditex.com/itxcomweb/api/media/d2407831-0359-41b2-ba3e-654383b27ffb/Cuentasanualeseinformedegestion2024consolidado.pdf?t=1742203269059" TargetMode="External"/><Relationship Id="rId229" Type="http://schemas.openxmlformats.org/officeDocument/2006/relationships/hyperlink" Target="https://about.puma.com/sites/default/files/documents/pdf/puma-ar-2019-annual-report.pdf" TargetMode="External"/><Relationship Id="rId220" Type="http://schemas.openxmlformats.org/officeDocument/2006/relationships/hyperlink" Target="https://about.puma.com/sites/default/files/documents/pdf/pumagb2016-eng.pdf" TargetMode="External"/><Relationship Id="rId103" Type="http://schemas.openxmlformats.org/officeDocument/2006/relationships/hyperlink" Target="https://drive.google.com/file/d/1kSpbw49TmeGjNqsVIa7lSz6_Lbbbm35X/view?usp=drive_link" TargetMode="External"/><Relationship Id="rId224" Type="http://schemas.openxmlformats.org/officeDocument/2006/relationships/hyperlink" Target="https://www.sustainabilityreports.com/puma" TargetMode="External"/><Relationship Id="rId102" Type="http://schemas.openxmlformats.org/officeDocument/2006/relationships/hyperlink" Target="https://drive.google.com/file/d/1ScwAdZ0VrcaKkgw3kKgGW8kOifa3vVlI/view?usp=drive_link" TargetMode="External"/><Relationship Id="rId223" Type="http://schemas.openxmlformats.org/officeDocument/2006/relationships/hyperlink" Target="https://annual-report.puma.com/2017/en/index.html" TargetMode="External"/><Relationship Id="rId101" Type="http://schemas.openxmlformats.org/officeDocument/2006/relationships/hyperlink" Target="https://drive.google.com/file/d/1T4nRSXj1eYSEuyexFzC5Cla87qD1i_Gl/view?usp=drive_link" TargetMode="External"/><Relationship Id="rId222" Type="http://schemas.openxmlformats.org/officeDocument/2006/relationships/hyperlink" Target="https://www.sustainabilityreports.com/puma" TargetMode="External"/><Relationship Id="rId100" Type="http://schemas.openxmlformats.org/officeDocument/2006/relationships/hyperlink" Target="https://drive.google.com/file/d/1pSFgf0nReRS4skFIp5AtV6Ss_UlKOqbT/view?usp=drive_link" TargetMode="External"/><Relationship Id="rId221" Type="http://schemas.openxmlformats.org/officeDocument/2006/relationships/hyperlink" Target="https://www.sustainabilityreports.com/puma" TargetMode="External"/><Relationship Id="rId217" Type="http://schemas.openxmlformats.org/officeDocument/2006/relationships/hyperlink" Target="https://www.sustainabilityreports.com/puma" TargetMode="External"/><Relationship Id="rId216" Type="http://schemas.openxmlformats.org/officeDocument/2006/relationships/hyperlink" Target="https://about.puma.com/sites/default/files/documents/pdf/puma-annual-report-2014.pdf" TargetMode="External"/><Relationship Id="rId215" Type="http://schemas.openxmlformats.org/officeDocument/2006/relationships/hyperlink" Target="https://www.sustainabilityreports.com/puma" TargetMode="External"/><Relationship Id="rId214" Type="http://schemas.openxmlformats.org/officeDocument/2006/relationships/hyperlink" Target="https://about.puma.com/sites/default/files/documents/pdf/pumageschaeftsbericht2013-en.pdf" TargetMode="External"/><Relationship Id="rId219" Type="http://schemas.openxmlformats.org/officeDocument/2006/relationships/hyperlink" Target="https://www.sustainabilityreports.com/puma" TargetMode="External"/><Relationship Id="rId218" Type="http://schemas.openxmlformats.org/officeDocument/2006/relationships/hyperlink" Target="https://about.puma.com/sites/default/files/documents/pdf/gb-2015-eng-final-links-low-res.pdf" TargetMode="External"/><Relationship Id="rId213" Type="http://schemas.openxmlformats.org/officeDocument/2006/relationships/hyperlink" Target="https://www.sustainabilityreports.com/puma" TargetMode="External"/><Relationship Id="rId212" Type="http://schemas.openxmlformats.org/officeDocument/2006/relationships/hyperlink" Target="https://about.puma.com/sites/default/files/documents/pdf/pumageschaeftsbericht2012-en.pdf" TargetMode="External"/><Relationship Id="rId211" Type="http://schemas.openxmlformats.org/officeDocument/2006/relationships/hyperlink" Target="https://www.sustainabilityreports.com/puma" TargetMode="External"/><Relationship Id="rId210" Type="http://schemas.openxmlformats.org/officeDocument/2006/relationships/hyperlink" Target="https://about.puma.com/sites/default/files/documents/pdf/pumanachhaltigkeitsbericht2010-en.pdf" TargetMode="External"/><Relationship Id="rId129" Type="http://schemas.openxmlformats.org/officeDocument/2006/relationships/hyperlink" Target="https://www.google.com/url?sa=t&amp;source=web&amp;rct=j&amp;opi=89978449&amp;url=https://www.loreal.com/-/media/project/loreal/brand-sites/corp/master/lcorp/documents-media/publications/sbwa/sbwaprgroupe2020eng0.pdf&amp;ved=2ahUKEwiZvteijbOQAxUz4gIHHVOlLJcQFnoECCsQAQ&amp;usg=AOvVaw2vs7RHGN391JtS3MUm9Tpn" TargetMode="External"/><Relationship Id="rId128" Type="http://schemas.openxmlformats.org/officeDocument/2006/relationships/hyperlink" Target="https://www.google.com/url?sa=t&amp;source=web&amp;rct=j&amp;opi=89978449&amp;url=https://www.loreal.com/-/media/project/loreal/brand-sites/corp/master/lcorp/documents-media/publications/sbwa/2019-progress-report.pdf%3Frev%3D-1&amp;ved=2ahUKEwiCy4r8jLOQAxWl2gIHHeXkMf0QFnoECB4QAQ&amp;usg=AOvVaw0MS6tzBPL_n6gOYgzCkj82" TargetMode="External"/><Relationship Id="rId249" Type="http://schemas.openxmlformats.org/officeDocument/2006/relationships/hyperlink" Target="https://sustainability.ferragamo.com/resource/blob/397914/313f7ca7d0e3fcf28b5ddb4f607a9441/2018-sustainability-report-data.pdf?UNDEFINED" TargetMode="External"/><Relationship Id="rId127" Type="http://schemas.openxmlformats.org/officeDocument/2006/relationships/hyperlink" Target="https://www.google.com/url?sa=t&amp;source=web&amp;rct=j&amp;opi=89978449&amp;url=https://www.loreal-finance.com/_docs/LOreal_2018_Progress_Report_SBWA.pdf&amp;ved=2ahUKEwje5JXxjLOQAxVcRv4FHRKKLrsQFnoECBkQAQ&amp;usg=AOvVaw0n6s-gdNHsEIRlat8u76Ib" TargetMode="External"/><Relationship Id="rId248" Type="http://schemas.openxmlformats.org/officeDocument/2006/relationships/hyperlink" Target="https://sustainability.ferragamo.com/resource/blob/397912/7f09069277dd4601afb14be2f015e068/2017-sustainability-report-data.pdf?UNDEFINED" TargetMode="External"/><Relationship Id="rId126" Type="http://schemas.openxmlformats.org/officeDocument/2006/relationships/hyperlink" Target="https://www.google.com/url?sa=t&amp;source=web&amp;rct=j&amp;opi=89978449&amp;url=https://www.loreal.com/-/media/project/loreal/brand-sites/corp/master/lcorp/documents-media/publications/sbwa/2017-progress-report.pdf&amp;ved=2ahUKEwj2tZnfjLOQAxVe9AIHHZgOJooQFnoECB0QAQ&amp;usg=AOvVaw2uiJwzuAMURBQ8yUJcubrM" TargetMode="External"/><Relationship Id="rId247" Type="http://schemas.openxmlformats.org/officeDocument/2006/relationships/hyperlink" Target="https://sustainability.ferragamo.com/resource/blob/397910/3bd6e042c2b1305d6233cbf510233b74/2016-sustainability-report-data.pdf?UNDEFINED" TargetMode="External"/><Relationship Id="rId121" Type="http://schemas.openxmlformats.org/officeDocument/2006/relationships/hyperlink" Target="https://www.google.com/url?sa=t&amp;source=web&amp;rct=j&amp;opi=89978449&amp;url=https://www.loreal-finance.com/_docs/pdf/rapport-annuel/2012/LOREAL_Rapport-Activite-2012_GB.pdf&amp;ved=2ahUKEwjHrI2x9ryQAxXgxwIHHan_D5IQFnoECBcQAQ&amp;usg=AOvVaw1VfNPKDWpy4x41WRF6kZ_v" TargetMode="External"/><Relationship Id="rId242" Type="http://schemas.openxmlformats.org/officeDocument/2006/relationships/hyperlink" Target="https://www.sustainabilityreports.com/puma" TargetMode="External"/><Relationship Id="rId120" Type="http://schemas.openxmlformats.org/officeDocument/2006/relationships/hyperlink" Target="https://www.google.com/url?sa=t&amp;source=web&amp;rct=j&amp;opi=89978449&amp;url=https://www.loreal-finance.com/_docs/us/2011-annualreport/loreal_rapport-activite-2011.pdf&amp;ved=2ahUKEwjMo5zn9byQAxUCwQIHHTi5BJEQFnoECBUQAQ&amp;usg=AOvVaw1f2NozOLYTDoBPAf2XJNCa" TargetMode="External"/><Relationship Id="rId241" Type="http://schemas.openxmlformats.org/officeDocument/2006/relationships/hyperlink" Target="https://annual-report.puma.com/2023/en/index.html" TargetMode="External"/><Relationship Id="rId240" Type="http://schemas.openxmlformats.org/officeDocument/2006/relationships/hyperlink" Target="https://www.sustainabilityreports.com/puma" TargetMode="External"/><Relationship Id="rId125" Type="http://schemas.openxmlformats.org/officeDocument/2006/relationships/hyperlink" Target="https://www.google.com/url?sa=t&amp;source=web&amp;rct=j&amp;opi=89978449&amp;url=https://www.loreal-finance.com/_docs/0000000138/LOreal_2016_Progress_Report.pdf&amp;ved=2ahUKEwioy-rWjLOQAxXF7AIHHYBmMgMQFnoECA8QAQ&amp;usg=AOvVaw3fFR_zavikzWbyQP2N0z-5" TargetMode="External"/><Relationship Id="rId246" Type="http://schemas.openxmlformats.org/officeDocument/2006/relationships/hyperlink" Target="https://sustainability.ferragamo.com/resource/blob/397908/937864913176006114b48e1ba93f8ef1/2015-sustainability-report-data.pdf?UNDEFINED" TargetMode="External"/><Relationship Id="rId124" Type="http://schemas.openxmlformats.org/officeDocument/2006/relationships/hyperlink" Target="https://www.google.com/url?sa=t&amp;source=web&amp;rct=j&amp;opi=89978449&amp;url=https://www.loreal-finance.com/_docs/0000000088/loreal_2015_annual_report.pdf&amp;ved=2ahUKEwijr5HAirOQAxUj_7sIHRV4DEkQFnoECBsQAQ&amp;usg=AOvVaw3sjxn-bNUPG2t0MyIMholL" TargetMode="External"/><Relationship Id="rId245" Type="http://schemas.openxmlformats.org/officeDocument/2006/relationships/hyperlink" Target="https://about.puma.com/sites/default/files/documents/pdf/puma-voluntary-sustainability-report-2024.pdf" TargetMode="External"/><Relationship Id="rId123" Type="http://schemas.openxmlformats.org/officeDocument/2006/relationships/hyperlink" Target="https://www.sustainabilityreports.com/loreal/2014/progress-report" TargetMode="External"/><Relationship Id="rId244" Type="http://schemas.openxmlformats.org/officeDocument/2006/relationships/hyperlink" Target="https://www.sustainabilityreports.com/puma" TargetMode="External"/><Relationship Id="rId122" Type="http://schemas.openxmlformats.org/officeDocument/2006/relationships/hyperlink" Target="https://www.google.com/url?sa=t&amp;source=web&amp;rct=j&amp;opi=89978449&amp;url=https://www.loreal-finance.com/_docs/pdf/rapport-annuel/2013/LOREAL-RDD2013-EN_01.pdf&amp;ved=2ahUKEwjp7ZjIibOQAxVN2gIHHQ-1M6EQFnoECBcQAQ&amp;usg=AOvVaw3JnsgJVBfa42t-eqy1-nZA" TargetMode="External"/><Relationship Id="rId243" Type="http://schemas.openxmlformats.org/officeDocument/2006/relationships/hyperlink" Target="https://annual-report.puma.com/2024/en/index.html" TargetMode="External"/><Relationship Id="rId95" Type="http://schemas.openxmlformats.org/officeDocument/2006/relationships/hyperlink" Target="https://drive.google.com/file/d/1I1cXbKAqys36XYe9hs4xCr15VtAIsfmY/view?usp=drive_link" TargetMode="External"/><Relationship Id="rId94" Type="http://schemas.openxmlformats.org/officeDocument/2006/relationships/hyperlink" Target="https://www.annualreports.com/Company/inditex" TargetMode="External"/><Relationship Id="rId97" Type="http://schemas.openxmlformats.org/officeDocument/2006/relationships/hyperlink" Target="https://drive.google.com/file/d/1wNIcCiI5jQuzRP3K9V6Tet8tAYuVtiIg/view?usp=drive_link" TargetMode="External"/><Relationship Id="rId96" Type="http://schemas.openxmlformats.org/officeDocument/2006/relationships/hyperlink" Target="https://drive.google.com/file/d/158IAFt7I0RLaKr8ZBh-zLpGLK9CVuR7B/view?usp=drive_link" TargetMode="External"/><Relationship Id="rId99" Type="http://schemas.openxmlformats.org/officeDocument/2006/relationships/hyperlink" Target="https://drive.google.com/file/d/1CaxeTXMhf8oZJIxs2ddbzMr4D0rhF2PQ/view?usp=drive_link" TargetMode="External"/><Relationship Id="rId98" Type="http://schemas.openxmlformats.org/officeDocument/2006/relationships/hyperlink" Target="https://drive.google.com/file/d/1tYjSBd-x4xwbSRKIXznsgvEvZiYSQRqv/view?usp=sharing" TargetMode="External"/><Relationship Id="rId91" Type="http://schemas.openxmlformats.org/officeDocument/2006/relationships/hyperlink" Target="https://www.google.com/url?sa=t&amp;source=web&amp;rct=j&amp;opi=89978449&amp;url=https://assets-finance.hermes.com/s3fs-public/node/pdf_file/2023-05/1684143348/hermes-urd-2022-en_01.pdf&amp;ved=2ahUKEwjU1KPkmLOQAxWlg_0HHSqpHpUQFnoECAwQAQ&amp;usg=AOvVaw0f40lnk6Fbo3W77BLrprRz" TargetMode="External"/><Relationship Id="rId90" Type="http://schemas.openxmlformats.org/officeDocument/2006/relationships/hyperlink" Target="https://www.google.com/url?sa=t&amp;source=web&amp;rct=j&amp;opi=89978449&amp;url=https://assets-finance.hermes.com/s3fs-public/node/pdf_file/2022-04/1650894273/HERMES-URD2021-EN_03.pdf&amp;ved=2ahUKEwiVr9HamLOQAxXhg_0HHUZYALIQFnoECAwQAQ&amp;usg=AOvVaw2oouQZviwtu7TeBmFBzSe3" TargetMode="External"/><Relationship Id="rId93" Type="http://schemas.openxmlformats.org/officeDocument/2006/relationships/hyperlink" Target="https://www.google.com/url?sa=t&amp;source=web&amp;rct=j&amp;opi=89978449&amp;url=https://assets-finance.hermes.com/s3fs-public/node/pdf_file/2025-03/1743171288/250328_hermes_urd2024_en.pdf%3FVersionId%3DaBWw8MLQRQNH8ZY6JGxsnPC1DvZeh03e&amp;ved=2ahUKEwijharwmLOQAxUOhf0HHaHoDSYQFnoECA0QAQ&amp;usg=AOvVaw0PhevHc75sUBKHoRYxqf67" TargetMode="External"/><Relationship Id="rId92" Type="http://schemas.openxmlformats.org/officeDocument/2006/relationships/hyperlink" Target="https://www.google.com/url?sa=t&amp;source=web&amp;rct=j&amp;opi=89978449&amp;url=https://assets-finance.hermes.com/s3fs-public/node/pdf_file/2024-06/1719224333/240326_hermes_2023urd_en_01.pdf&amp;ved=2ahUKEwjElJbqmLOQAxWhgf0HHZHaCrUQFnoECA0QAQ&amp;usg=AOvVaw0sCnBXbMaU07PHu9o3kzxo" TargetMode="External"/><Relationship Id="rId118" Type="http://schemas.openxmlformats.org/officeDocument/2006/relationships/hyperlink" Target="https://www.sustainabilityreports.com/loreal/2009/sustainable-development-report" TargetMode="External"/><Relationship Id="rId239" Type="http://schemas.openxmlformats.org/officeDocument/2006/relationships/hyperlink" Target="https://www.sustainabilityreports.com/puma" TargetMode="External"/><Relationship Id="rId117" Type="http://schemas.openxmlformats.org/officeDocument/2006/relationships/hyperlink" Target="https://www.google.com/url?sa=t&amp;source=web&amp;rct=j&amp;opi=89978449&amp;url=https://ddd.uab.cat/pub/infanu/30081/iaLOREALa2008ieng.pdf&amp;ved=2ahUKEwiiv8i37LyQAxWB2gIHHQA6IakQFnoECBcQAQ&amp;usg=AOvVaw2LXWCnX5koTftBwEKUODGF" TargetMode="External"/><Relationship Id="rId238" Type="http://schemas.openxmlformats.org/officeDocument/2006/relationships/hyperlink" Target="https://annual-report.puma.com/2022/en/index.html" TargetMode="External"/><Relationship Id="rId116" Type="http://schemas.openxmlformats.org/officeDocument/2006/relationships/hyperlink" Target="https://www.google.com/url?sa=t&amp;source=web&amp;rct=j&amp;opi=89978449&amp;url=https://ddd.uab.cat/pub/infanu/30081/iaLOREALa2007ieng.pdf&amp;ved=2ahUKEwiPw9L57LyQAxV8-AIHHWobKuYQFnoECBgQAQ&amp;usg=AOvVaw20pPGlJCKpf7llVnlZRjAk" TargetMode="External"/><Relationship Id="rId237" Type="http://schemas.openxmlformats.org/officeDocument/2006/relationships/hyperlink" Target="https://www.sustainabilityreports.com/puma" TargetMode="External"/><Relationship Id="rId115" Type="http://schemas.openxmlformats.org/officeDocument/2006/relationships/hyperlink" Target="https://www.google.com/url?sa=t&amp;source=web&amp;rct=j&amp;opi=89978449&amp;url=https://ddd.uab.cat/pub/infanu/30081/iaLOREALa2006ieng.pdf&amp;ved=2ahUKEwiEkrGB7byQAxXczwIHHQYDJn0QFnoECBcQAQ&amp;usg=AOvVaw0aJ2pLB2hddem1kyvRqHGQ" TargetMode="External"/><Relationship Id="rId236" Type="http://schemas.openxmlformats.org/officeDocument/2006/relationships/hyperlink" Target="https://www.sustainabilityreports.com/puma" TargetMode="External"/><Relationship Id="rId119" Type="http://schemas.openxmlformats.org/officeDocument/2006/relationships/hyperlink" Target="https://www.google.com/url?sa=t&amp;source=web&amp;rct=j&amp;opi=89978449&amp;url=https://www.loreal-finance.com/_docs/us/2010-annual-report/LOREAL-2010-AR-volume1DEF.pdf&amp;ved=2ahUKEwj-kIPd9byQAxWf9AIHHdPaNwAQFnoECBgQAQ&amp;usg=AOvVaw03bqtEXyl01AL5s9kvK0z8" TargetMode="External"/><Relationship Id="rId110" Type="http://schemas.openxmlformats.org/officeDocument/2006/relationships/hyperlink" Target="https://www.google.com/url?sa=t&amp;source=web&amp;rct=j&amp;opi=89978449&amp;url=https://ddd.uab.cat/pub/infanu/30081/iaLOREALa2002ieng1.pdf&amp;ved=2ahUKEwjK08q57byQAxVK1QIHHbU9D6gQFnoECBcQAQ&amp;usg=AOvVaw2Sg_fbgGrQrEcAlNix-nYI" TargetMode="External"/><Relationship Id="rId231" Type="http://schemas.openxmlformats.org/officeDocument/2006/relationships/hyperlink" Target="https://www.sustainabilityreports.com/puma" TargetMode="External"/><Relationship Id="rId230" Type="http://schemas.openxmlformats.org/officeDocument/2006/relationships/hyperlink" Target="https://www.sustainabilityreports.com/puma" TargetMode="External"/><Relationship Id="rId114" Type="http://schemas.openxmlformats.org/officeDocument/2006/relationships/hyperlink" Target="https://www.sustainabilityreports.com/loreal/2006/sustainable-development-report" TargetMode="External"/><Relationship Id="rId235" Type="http://schemas.openxmlformats.org/officeDocument/2006/relationships/hyperlink" Target="https://about.puma.com/sites/default/files/documents/pdf/puma-annual-report-2021.pdf" TargetMode="External"/><Relationship Id="rId113" Type="http://schemas.openxmlformats.org/officeDocument/2006/relationships/hyperlink" Target="https://www.google.com/url?sa=t&amp;source=web&amp;rct=j&amp;opi=89978449&amp;url=https://ddd.uab.cat/pub/infanu/30081/iaLOREALa2005ieng.pdf&amp;ved=2ahUKEwik496c7byQAxUj8QIHHa1LNMwQFnoECBgQAQ&amp;usg=AOvVaw2V08IldcB56_2vE4Ytu3gT" TargetMode="External"/><Relationship Id="rId234" Type="http://schemas.openxmlformats.org/officeDocument/2006/relationships/hyperlink" Target="https://www.sustainabilityreports.com/puma" TargetMode="External"/><Relationship Id="rId112" Type="http://schemas.openxmlformats.org/officeDocument/2006/relationships/hyperlink" Target="https://www.google.com/url?sa=t&amp;source=web&amp;rct=j&amp;opi=89978449&amp;url=https://ddd.uab.cat/pub/infanu/30081/iaLOREALa2004ieng.pdf&amp;ved=2ahUKEwibw_ur7byQAxUDzgIHHazUAv0QFnoECBsQAQ&amp;usg=AOvVaw07Jf7NfRCD5JwvCRazTgsu" TargetMode="External"/><Relationship Id="rId233" Type="http://schemas.openxmlformats.org/officeDocument/2006/relationships/hyperlink" Target="https://www.sustainabilityreports.com/puma" TargetMode="External"/><Relationship Id="rId111" Type="http://schemas.openxmlformats.org/officeDocument/2006/relationships/hyperlink" Target="https://www.google.com/url?sa=t&amp;source=web&amp;rct=j&amp;opi=89978449&amp;url=https://ddd.uab.cat/pub/infanu/30081/iaLOREALa2003ieng.pdf&amp;ved=2ahUKEwjduuqy7byQAxVq9QIHHZ_VFoAQFnoECBgQAQ&amp;usg=AOvVaw2ZxPEOaWGKmRblgS1J53yY" TargetMode="External"/><Relationship Id="rId232" Type="http://schemas.openxmlformats.org/officeDocument/2006/relationships/hyperlink" Target="https://about.puma.com/sites/default/files/documents/pdf/puma-annual-report-2020.pdf" TargetMode="External"/><Relationship Id="rId206" Type="http://schemas.openxmlformats.org/officeDocument/2006/relationships/hyperlink" Target="https://www.sustainabilityreports.com/puma" TargetMode="External"/><Relationship Id="rId205" Type="http://schemas.openxmlformats.org/officeDocument/2006/relationships/hyperlink" Target="https://about.puma.com/sites/default/files/documents/pdf/pumanachhaltigkeitbericht2007-8-1.pdf" TargetMode="External"/><Relationship Id="rId204" Type="http://schemas.openxmlformats.org/officeDocument/2006/relationships/hyperlink" Target="https://www.sustainabilityreports.com/puma" TargetMode="External"/><Relationship Id="rId203" Type="http://schemas.openxmlformats.org/officeDocument/2006/relationships/hyperlink" Target="https://about.puma.com/sites/default/files/documents/pdf/pumanachhaltigkeitsbericht2004-en-1.pdf" TargetMode="External"/><Relationship Id="rId209" Type="http://schemas.openxmlformats.org/officeDocument/2006/relationships/hyperlink" Target="https://www.sustainabilityreports.com/puma" TargetMode="External"/><Relationship Id="rId208" Type="http://schemas.openxmlformats.org/officeDocument/2006/relationships/hyperlink" Target="https://www.sustainabilityreports.com/puma" TargetMode="External"/><Relationship Id="rId207" Type="http://schemas.openxmlformats.org/officeDocument/2006/relationships/hyperlink" Target="https://about.puma.com/sites/default/files/documents/pdf/pumanachhaltigkeitsbericht2005-6-en.pdf" TargetMode="External"/><Relationship Id="rId202" Type="http://schemas.openxmlformats.org/officeDocument/2006/relationships/hyperlink" Target="https://www.sustainabilityreports.com/puma" TargetMode="External"/><Relationship Id="rId201" Type="http://schemas.openxmlformats.org/officeDocument/2006/relationships/hyperlink" Target="https://about.puma.com/sites/default/files/documents/pdf/pumanachhaltigkeitsbericht2003-en-1.pdf" TargetMode="External"/><Relationship Id="rId200" Type="http://schemas.openxmlformats.org/officeDocument/2006/relationships/hyperlink" Target="https://www.sustainabilityreports.com/puma" TargetMode="Externa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5.xml"/><Relationship Id="rId5"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17.5"/>
    <col customWidth="1" min="3" max="3" width="21.25"/>
    <col customWidth="1" min="7" max="7" width="25.38"/>
  </cols>
  <sheetData>
    <row r="1">
      <c r="A1" s="1" t="s">
        <v>0</v>
      </c>
      <c r="B1" s="2"/>
      <c r="C1" s="2"/>
      <c r="D1" s="2"/>
      <c r="E1" s="2"/>
      <c r="F1" s="2"/>
    </row>
    <row r="2">
      <c r="A2" s="3" t="s">
        <v>1</v>
      </c>
      <c r="B2" s="4"/>
      <c r="C2" s="4"/>
      <c r="D2" s="4"/>
      <c r="E2" s="5"/>
      <c r="F2" s="2"/>
    </row>
    <row r="3">
      <c r="A3" s="6"/>
      <c r="E3" s="7"/>
      <c r="F3" s="2"/>
    </row>
    <row r="4">
      <c r="A4" s="8"/>
      <c r="B4" s="9"/>
      <c r="C4" s="9"/>
      <c r="D4" s="9"/>
      <c r="E4" s="10"/>
      <c r="F4" s="2"/>
    </row>
    <row r="5">
      <c r="A5" s="11" t="s">
        <v>2</v>
      </c>
      <c r="B5" s="4"/>
      <c r="C5" s="4"/>
      <c r="D5" s="4"/>
      <c r="E5" s="5"/>
      <c r="F5" s="2"/>
    </row>
    <row r="6">
      <c r="A6" s="8"/>
      <c r="B6" s="9"/>
      <c r="C6" s="9"/>
      <c r="D6" s="9"/>
      <c r="E6" s="10"/>
      <c r="F6" s="2"/>
    </row>
    <row r="7">
      <c r="A7" s="12" t="s">
        <v>3</v>
      </c>
      <c r="B7" s="13"/>
      <c r="C7" s="13"/>
      <c r="D7" s="13"/>
      <c r="E7" s="14"/>
      <c r="F7" s="2"/>
    </row>
    <row r="8">
      <c r="A8" s="15"/>
      <c r="B8" s="2"/>
      <c r="C8" s="2"/>
      <c r="D8" s="2"/>
      <c r="E8" s="2"/>
      <c r="F8" s="2"/>
    </row>
    <row r="9">
      <c r="A9" s="15" t="s">
        <v>4</v>
      </c>
      <c r="B9" s="2"/>
      <c r="C9" s="2"/>
      <c r="D9" s="2"/>
      <c r="E9" s="2"/>
      <c r="F9" s="2"/>
    </row>
    <row r="10">
      <c r="A10" s="16" t="s">
        <v>5</v>
      </c>
      <c r="B10" s="2" t="s">
        <v>6</v>
      </c>
      <c r="C10" s="2"/>
      <c r="D10" s="2"/>
      <c r="E10" s="2"/>
      <c r="F10" s="2"/>
    </row>
    <row r="11">
      <c r="A11" s="16" t="s">
        <v>7</v>
      </c>
      <c r="B11" s="2" t="s">
        <v>8</v>
      </c>
      <c r="C11" s="2"/>
      <c r="D11" s="2"/>
      <c r="E11" s="2"/>
      <c r="F11" s="2"/>
    </row>
    <row r="12">
      <c r="A12" s="16" t="s">
        <v>9</v>
      </c>
      <c r="B12" s="17" t="s">
        <v>10</v>
      </c>
      <c r="C12" s="2"/>
      <c r="D12" s="2"/>
      <c r="E12" s="2"/>
      <c r="F12" s="2"/>
    </row>
    <row r="13">
      <c r="A13" s="18" t="s">
        <v>11</v>
      </c>
      <c r="B13" s="19" t="s">
        <v>12</v>
      </c>
      <c r="C13" s="2"/>
      <c r="D13" s="2"/>
      <c r="E13" s="2"/>
      <c r="F13" s="2"/>
    </row>
    <row r="14">
      <c r="A14" s="16" t="s">
        <v>13</v>
      </c>
      <c r="B14" s="17" t="s">
        <v>14</v>
      </c>
      <c r="C14" s="2"/>
      <c r="D14" s="2"/>
      <c r="E14" s="2"/>
      <c r="F14" s="2"/>
    </row>
    <row r="15">
      <c r="A15" s="16" t="s">
        <v>15</v>
      </c>
      <c r="B15" s="17" t="s">
        <v>16</v>
      </c>
      <c r="C15" s="2"/>
      <c r="D15" s="2"/>
      <c r="E15" s="2"/>
      <c r="F15" s="2"/>
    </row>
    <row r="16">
      <c r="A16" s="2"/>
      <c r="B16" s="2"/>
      <c r="C16" s="2"/>
      <c r="D16" s="2"/>
      <c r="E16" s="2"/>
      <c r="F16" s="2"/>
    </row>
    <row r="17">
      <c r="A17" s="2"/>
      <c r="B17" s="2"/>
      <c r="C17" s="2"/>
      <c r="D17" s="2"/>
      <c r="E17" s="2"/>
      <c r="F17" s="2"/>
    </row>
    <row r="18">
      <c r="A18" s="15" t="s">
        <v>17</v>
      </c>
      <c r="B18" s="2"/>
      <c r="C18" s="2"/>
      <c r="D18" s="2"/>
      <c r="E18" s="2"/>
      <c r="F18" s="2"/>
    </row>
    <row r="19">
      <c r="A19" s="2"/>
      <c r="B19" s="2"/>
      <c r="C19" s="2"/>
      <c r="D19" s="2"/>
    </row>
    <row r="20">
      <c r="A20" s="20" t="s">
        <v>5</v>
      </c>
      <c r="D20" s="2"/>
      <c r="E20" s="21" t="s">
        <v>7</v>
      </c>
    </row>
    <row r="21">
      <c r="A21" s="22" t="s">
        <v>18</v>
      </c>
      <c r="B21" s="22" t="s">
        <v>19</v>
      </c>
      <c r="C21" s="22" t="s">
        <v>20</v>
      </c>
      <c r="D21" s="2"/>
      <c r="E21" s="23" t="s">
        <v>18</v>
      </c>
      <c r="F21" s="23" t="s">
        <v>19</v>
      </c>
      <c r="G21" s="23" t="s">
        <v>20</v>
      </c>
    </row>
    <row r="22">
      <c r="A22" s="24"/>
      <c r="B22" s="25" t="s">
        <v>21</v>
      </c>
      <c r="C22" s="26" t="s">
        <v>22</v>
      </c>
      <c r="E22" s="27"/>
      <c r="F22" s="28" t="s">
        <v>23</v>
      </c>
      <c r="G22" s="29" t="s">
        <v>24</v>
      </c>
    </row>
    <row r="23">
      <c r="A23" s="30"/>
      <c r="B23" s="25" t="s">
        <v>25</v>
      </c>
      <c r="C23" s="31" t="s">
        <v>26</v>
      </c>
      <c r="E23" s="30"/>
      <c r="F23" s="28" t="s">
        <v>21</v>
      </c>
      <c r="G23" s="31" t="s">
        <v>27</v>
      </c>
    </row>
    <row r="24">
      <c r="A24" s="30"/>
      <c r="B24" s="25" t="s">
        <v>28</v>
      </c>
      <c r="C24" s="31" t="s">
        <v>29</v>
      </c>
      <c r="E24" s="30"/>
      <c r="F24" s="32" t="s">
        <v>30</v>
      </c>
      <c r="G24" s="31" t="s">
        <v>31</v>
      </c>
    </row>
    <row r="25">
      <c r="A25" s="33"/>
      <c r="B25" s="34" t="s">
        <v>32</v>
      </c>
      <c r="C25" s="29" t="s">
        <v>33</v>
      </c>
      <c r="E25" s="33"/>
      <c r="F25" s="28" t="s">
        <v>34</v>
      </c>
      <c r="G25" s="29" t="s">
        <v>35</v>
      </c>
    </row>
    <row r="26">
      <c r="A26" s="35" t="s">
        <v>36</v>
      </c>
      <c r="B26" s="25" t="s">
        <v>36</v>
      </c>
      <c r="C26" s="29" t="s">
        <v>37</v>
      </c>
      <c r="E26" s="36" t="s">
        <v>38</v>
      </c>
      <c r="F26" s="37" t="s">
        <v>39</v>
      </c>
      <c r="G26" s="29" t="s">
        <v>40</v>
      </c>
    </row>
    <row r="27">
      <c r="A27" s="30"/>
      <c r="B27" s="25" t="s">
        <v>41</v>
      </c>
      <c r="C27" s="31" t="s">
        <v>42</v>
      </c>
      <c r="E27" s="30"/>
      <c r="F27" s="32" t="s">
        <v>18</v>
      </c>
      <c r="G27" s="29" t="s">
        <v>43</v>
      </c>
    </row>
    <row r="28">
      <c r="A28" s="30"/>
      <c r="B28" s="25" t="s">
        <v>44</v>
      </c>
      <c r="C28" s="31" t="s">
        <v>45</v>
      </c>
      <c r="E28" s="33"/>
      <c r="F28" s="37" t="s">
        <v>46</v>
      </c>
      <c r="G28" s="29" t="s">
        <v>47</v>
      </c>
    </row>
    <row r="29">
      <c r="A29" s="33"/>
      <c r="B29" s="25" t="s">
        <v>48</v>
      </c>
      <c r="C29" s="31" t="s">
        <v>49</v>
      </c>
      <c r="E29" s="38" t="s">
        <v>50</v>
      </c>
      <c r="F29" s="28" t="s">
        <v>51</v>
      </c>
      <c r="G29" s="29" t="s">
        <v>52</v>
      </c>
    </row>
    <row r="30">
      <c r="A30" s="39" t="s">
        <v>53</v>
      </c>
      <c r="B30" s="40" t="s">
        <v>53</v>
      </c>
      <c r="C30" s="31" t="s">
        <v>54</v>
      </c>
      <c r="E30" s="30"/>
      <c r="F30" s="32" t="s">
        <v>55</v>
      </c>
      <c r="G30" s="29" t="s">
        <v>56</v>
      </c>
    </row>
    <row r="31">
      <c r="A31" s="33"/>
      <c r="B31" s="25" t="s">
        <v>57</v>
      </c>
      <c r="C31" s="31" t="s">
        <v>49</v>
      </c>
      <c r="E31" s="30"/>
      <c r="F31" s="32" t="s">
        <v>58</v>
      </c>
      <c r="G31" s="29" t="s">
        <v>59</v>
      </c>
    </row>
    <row r="32">
      <c r="A32" s="35" t="s">
        <v>60</v>
      </c>
      <c r="B32" s="25" t="s">
        <v>60</v>
      </c>
      <c r="C32" s="31" t="s">
        <v>61</v>
      </c>
      <c r="E32" s="30"/>
      <c r="F32" s="32" t="s">
        <v>62</v>
      </c>
      <c r="G32" s="29" t="s">
        <v>63</v>
      </c>
    </row>
    <row r="33">
      <c r="A33" s="30"/>
      <c r="B33" s="25" t="s">
        <v>64</v>
      </c>
      <c r="C33" s="31" t="s">
        <v>42</v>
      </c>
      <c r="E33" s="30"/>
      <c r="F33" s="37" t="s">
        <v>65</v>
      </c>
      <c r="G33" s="31" t="s">
        <v>45</v>
      </c>
    </row>
    <row r="34">
      <c r="A34" s="30"/>
      <c r="B34" s="25" t="s">
        <v>66</v>
      </c>
      <c r="C34" s="31" t="s">
        <v>45</v>
      </c>
      <c r="E34" s="30"/>
      <c r="F34" s="37" t="s">
        <v>67</v>
      </c>
      <c r="G34" s="29" t="s">
        <v>68</v>
      </c>
    </row>
    <row r="35">
      <c r="A35" s="33"/>
      <c r="B35" s="25" t="s">
        <v>69</v>
      </c>
      <c r="C35" s="31" t="s">
        <v>49</v>
      </c>
      <c r="E35" s="30"/>
      <c r="F35" s="32" t="s">
        <v>70</v>
      </c>
      <c r="G35" s="29" t="s">
        <v>71</v>
      </c>
    </row>
    <row r="36">
      <c r="A36" s="39" t="s">
        <v>72</v>
      </c>
      <c r="B36" s="25" t="s">
        <v>73</v>
      </c>
      <c r="C36" s="31" t="s">
        <v>74</v>
      </c>
      <c r="E36" s="33"/>
      <c r="F36" s="32" t="s">
        <v>75</v>
      </c>
      <c r="G36" s="29" t="s">
        <v>76</v>
      </c>
    </row>
    <row r="37">
      <c r="A37" s="30"/>
      <c r="B37" s="25" t="s">
        <v>77</v>
      </c>
      <c r="C37" s="31" t="s">
        <v>78</v>
      </c>
      <c r="E37" s="41" t="s">
        <v>79</v>
      </c>
      <c r="F37" s="32" t="s">
        <v>80</v>
      </c>
      <c r="G37" s="29" t="s">
        <v>80</v>
      </c>
    </row>
    <row r="38">
      <c r="A38" s="30"/>
      <c r="B38" s="25" t="s">
        <v>81</v>
      </c>
      <c r="C38" s="31" t="s">
        <v>82</v>
      </c>
      <c r="E38" s="30"/>
      <c r="F38" s="32" t="s">
        <v>83</v>
      </c>
      <c r="G38" s="29" t="s">
        <v>59</v>
      </c>
    </row>
    <row r="39">
      <c r="A39" s="33"/>
      <c r="B39" s="25" t="s">
        <v>84</v>
      </c>
      <c r="C39" s="29" t="s">
        <v>85</v>
      </c>
      <c r="E39" s="30"/>
      <c r="F39" s="32" t="s">
        <v>86</v>
      </c>
      <c r="G39" s="29" t="s">
        <v>87</v>
      </c>
    </row>
    <row r="40">
      <c r="A40" s="42"/>
      <c r="E40" s="30"/>
      <c r="F40" s="37" t="s">
        <v>88</v>
      </c>
      <c r="G40" s="31" t="s">
        <v>45</v>
      </c>
    </row>
    <row r="41">
      <c r="A41" s="42"/>
      <c r="B41" s="42"/>
      <c r="E41" s="30"/>
      <c r="F41" s="32" t="s">
        <v>89</v>
      </c>
      <c r="G41" s="29" t="s">
        <v>71</v>
      </c>
    </row>
    <row r="42">
      <c r="E42" s="33"/>
      <c r="F42" s="32" t="s">
        <v>90</v>
      </c>
      <c r="G42" s="29" t="s">
        <v>76</v>
      </c>
    </row>
    <row r="43">
      <c r="E43" s="38" t="s">
        <v>91</v>
      </c>
      <c r="F43" s="32" t="s">
        <v>92</v>
      </c>
      <c r="G43" s="29" t="s">
        <v>93</v>
      </c>
    </row>
    <row r="44">
      <c r="E44" s="30"/>
      <c r="F44" s="32" t="s">
        <v>94</v>
      </c>
      <c r="G44" s="29" t="s">
        <v>59</v>
      </c>
    </row>
    <row r="45">
      <c r="E45" s="30"/>
      <c r="F45" s="43" t="s">
        <v>95</v>
      </c>
      <c r="G45" s="29" t="s">
        <v>96</v>
      </c>
    </row>
    <row r="46">
      <c r="E46" s="30"/>
      <c r="F46" s="37" t="s">
        <v>97</v>
      </c>
      <c r="G46" s="31" t="s">
        <v>45</v>
      </c>
    </row>
    <row r="47">
      <c r="A47" s="42"/>
      <c r="E47" s="30"/>
      <c r="F47" s="32" t="s">
        <v>98</v>
      </c>
      <c r="G47" s="29" t="s">
        <v>71</v>
      </c>
    </row>
    <row r="48">
      <c r="E48" s="33"/>
      <c r="F48" s="32" t="s">
        <v>99</v>
      </c>
      <c r="G48" s="29" t="s">
        <v>76</v>
      </c>
    </row>
    <row r="49">
      <c r="E49" s="2"/>
      <c r="F49" s="2"/>
    </row>
    <row r="50">
      <c r="E50" s="2"/>
      <c r="F50" s="2"/>
    </row>
    <row r="51">
      <c r="E51" s="2"/>
      <c r="F51" s="2"/>
    </row>
    <row r="52">
      <c r="E52" s="2"/>
      <c r="F52" s="2"/>
    </row>
    <row r="53">
      <c r="E53" s="2"/>
      <c r="F53" s="2"/>
    </row>
    <row r="54">
      <c r="E54" s="2"/>
      <c r="F54" s="2"/>
    </row>
    <row r="55">
      <c r="E55" s="2"/>
      <c r="F55" s="2"/>
    </row>
    <row r="56">
      <c r="E56" s="2"/>
      <c r="F56" s="2"/>
    </row>
    <row r="57">
      <c r="E57" s="2"/>
      <c r="F57" s="2"/>
    </row>
    <row r="58">
      <c r="E58" s="2"/>
      <c r="F58" s="2"/>
    </row>
    <row r="59">
      <c r="E59" s="2"/>
      <c r="F59" s="2"/>
    </row>
    <row r="60">
      <c r="E60" s="2"/>
      <c r="F60" s="2"/>
    </row>
  </sheetData>
  <mergeCells count="15">
    <mergeCell ref="E22:E25"/>
    <mergeCell ref="E26:E28"/>
    <mergeCell ref="E29:E36"/>
    <mergeCell ref="E37:E42"/>
    <mergeCell ref="E43:E48"/>
    <mergeCell ref="A30:A31"/>
    <mergeCell ref="A32:A35"/>
    <mergeCell ref="A36:A39"/>
    <mergeCell ref="A2:E4"/>
    <mergeCell ref="A5:E6"/>
    <mergeCell ref="A7:E7"/>
    <mergeCell ref="A20:C20"/>
    <mergeCell ref="E20:G20"/>
    <mergeCell ref="A22:A25"/>
    <mergeCell ref="A26:A29"/>
  </mergeCells>
  <hyperlinks>
    <hyperlink r:id="rId1" ref="A7"/>
    <hyperlink display="Companies" location="Companies!A1" ref="A10"/>
    <hyperlink display="Pledges" location="Pledges!A1" ref="A11"/>
    <hyperlink display="Documents" location="Documents!A1" ref="A12"/>
    <hyperlink display="Analysis 1: Pledges" location="'Analysis 1 Pledges'!A1" ref="A13"/>
    <hyperlink display="Analysis 2: Timeline" location="'Analysis 2 Timeline'!A1" ref="A14"/>
    <hyperlink display="Analysis 3: Materials" location="'Analysis 3 Materials'!A1" ref="A15"/>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17.25"/>
    <col customWidth="1" min="2" max="2" width="11.38"/>
    <col customWidth="1" min="3" max="3" width="14.0"/>
    <col customWidth="1" min="4" max="4" width="11.88"/>
    <col customWidth="1" min="5" max="5" width="15.25"/>
    <col customWidth="1" min="6" max="6" width="12.0"/>
    <col customWidth="1" min="7" max="7" width="12.13"/>
    <col customWidth="1" min="8" max="8" width="19.13"/>
    <col customWidth="1" min="9" max="9" width="13.63"/>
    <col customWidth="1" min="10" max="10" width="19.25"/>
    <col customWidth="1" min="11" max="11" width="14.25"/>
    <col customWidth="1" min="12" max="12" width="14.63"/>
    <col customWidth="1" min="13" max="13" width="14.13"/>
    <col customWidth="1" min="14" max="14" width="19.88"/>
    <col customWidth="1" min="15" max="15" width="18.38"/>
    <col customWidth="1" min="16" max="16" width="16.0"/>
    <col customWidth="1" min="17" max="17" width="12.88"/>
    <col customWidth="1" min="18" max="18" width="19.5"/>
    <col customWidth="1" min="19" max="19" width="29.25"/>
    <col customWidth="1" min="20" max="20" width="19.88"/>
  </cols>
  <sheetData>
    <row r="1">
      <c r="A1" s="44" t="s">
        <v>100</v>
      </c>
      <c r="G1" s="45"/>
    </row>
    <row r="2">
      <c r="E2" s="46" t="s">
        <v>36</v>
      </c>
      <c r="F2" s="13"/>
      <c r="G2" s="13"/>
      <c r="H2" s="14"/>
      <c r="I2" s="47" t="s">
        <v>53</v>
      </c>
      <c r="J2" s="14"/>
      <c r="K2" s="46" t="s">
        <v>60</v>
      </c>
      <c r="L2" s="13"/>
      <c r="M2" s="13"/>
      <c r="N2" s="14"/>
      <c r="O2" s="47" t="s">
        <v>72</v>
      </c>
      <c r="P2" s="13"/>
      <c r="Q2" s="13"/>
      <c r="R2" s="14"/>
    </row>
    <row r="3" ht="22.5" customHeight="1">
      <c r="A3" s="48" t="s">
        <v>21</v>
      </c>
      <c r="B3" s="48" t="s">
        <v>25</v>
      </c>
      <c r="C3" s="48" t="s">
        <v>28</v>
      </c>
      <c r="D3" s="49" t="s">
        <v>32</v>
      </c>
      <c r="E3" s="48" t="s">
        <v>36</v>
      </c>
      <c r="F3" s="48" t="s">
        <v>41</v>
      </c>
      <c r="G3" s="48" t="s">
        <v>44</v>
      </c>
      <c r="H3" s="48" t="s">
        <v>48</v>
      </c>
      <c r="I3" s="50" t="s">
        <v>53</v>
      </c>
      <c r="J3" s="48" t="s">
        <v>57</v>
      </c>
      <c r="K3" s="48" t="s">
        <v>60</v>
      </c>
      <c r="L3" s="48" t="s">
        <v>64</v>
      </c>
      <c r="M3" s="48" t="s">
        <v>66</v>
      </c>
      <c r="N3" s="48" t="s">
        <v>69</v>
      </c>
      <c r="O3" s="48" t="s">
        <v>73</v>
      </c>
      <c r="P3" s="48" t="s">
        <v>77</v>
      </c>
      <c r="Q3" s="48" t="s">
        <v>81</v>
      </c>
      <c r="R3" s="48" t="s">
        <v>84</v>
      </c>
      <c r="S3" s="51"/>
      <c r="T3" s="51"/>
    </row>
    <row r="4" ht="22.5" customHeight="1">
      <c r="A4" s="52" t="s">
        <v>101</v>
      </c>
      <c r="B4" s="52" t="s">
        <v>102</v>
      </c>
      <c r="C4" s="53" t="s">
        <v>103</v>
      </c>
      <c r="D4" s="54" t="s">
        <v>104</v>
      </c>
      <c r="E4" s="55">
        <v>27.05</v>
      </c>
      <c r="F4" s="52">
        <v>2024.0</v>
      </c>
      <c r="G4" s="53" t="s">
        <v>105</v>
      </c>
      <c r="H4" s="52" t="s">
        <v>106</v>
      </c>
      <c r="I4" s="52">
        <v>46045.0</v>
      </c>
      <c r="J4" s="52" t="s">
        <v>106</v>
      </c>
      <c r="K4" s="56">
        <v>456227.0</v>
      </c>
      <c r="L4" s="57">
        <v>2024.0</v>
      </c>
      <c r="M4" s="58" t="s">
        <v>107</v>
      </c>
      <c r="N4" s="59" t="s">
        <v>108</v>
      </c>
      <c r="O4" s="60" t="s">
        <v>109</v>
      </c>
      <c r="P4" s="60" t="s">
        <v>110</v>
      </c>
      <c r="Q4" s="60" t="s">
        <v>111</v>
      </c>
      <c r="R4" s="53">
        <v>2000.0</v>
      </c>
    </row>
    <row r="5" ht="22.5" customHeight="1">
      <c r="A5" s="61" t="s">
        <v>112</v>
      </c>
      <c r="B5" s="61" t="s">
        <v>113</v>
      </c>
      <c r="C5" s="61" t="s">
        <v>114</v>
      </c>
      <c r="D5" s="62" t="s">
        <v>115</v>
      </c>
      <c r="E5" s="63">
        <v>2.3</v>
      </c>
      <c r="F5" s="61">
        <v>2024.0</v>
      </c>
      <c r="G5" s="61" t="s">
        <v>116</v>
      </c>
      <c r="H5" s="64" t="s">
        <v>117</v>
      </c>
      <c r="I5" s="61">
        <v>9077.0</v>
      </c>
      <c r="J5" s="64" t="s">
        <v>118</v>
      </c>
      <c r="K5" s="56">
        <v>456318.0</v>
      </c>
      <c r="L5" s="65">
        <v>2023.0</v>
      </c>
      <c r="M5" s="65" t="s">
        <v>119</v>
      </c>
      <c r="N5" s="65" t="s">
        <v>120</v>
      </c>
      <c r="O5" s="66" t="s">
        <v>121</v>
      </c>
      <c r="P5" s="67" t="s">
        <v>122</v>
      </c>
      <c r="Q5" s="68"/>
      <c r="R5" s="61">
        <v>2018.0</v>
      </c>
    </row>
    <row r="6" ht="22.5" customHeight="1">
      <c r="A6" s="69" t="s">
        <v>123</v>
      </c>
      <c r="B6" s="61" t="s">
        <v>124</v>
      </c>
      <c r="C6" s="61" t="s">
        <v>114</v>
      </c>
      <c r="D6" s="62" t="s">
        <v>104</v>
      </c>
      <c r="E6" s="63">
        <v>18.7</v>
      </c>
      <c r="F6" s="61">
        <v>2024.0</v>
      </c>
      <c r="G6" s="61" t="s">
        <v>125</v>
      </c>
      <c r="H6" s="64" t="s">
        <v>126</v>
      </c>
      <c r="I6" s="61">
        <v>38400.0</v>
      </c>
      <c r="J6" s="64" t="s">
        <v>126</v>
      </c>
      <c r="K6" s="56"/>
      <c r="L6" s="70"/>
      <c r="M6" s="70"/>
      <c r="N6" s="70"/>
      <c r="O6" s="66" t="s">
        <v>127</v>
      </c>
      <c r="P6" s="67" t="s">
        <v>128</v>
      </c>
      <c r="Q6" s="66" t="s">
        <v>127</v>
      </c>
      <c r="R6" s="61"/>
    </row>
    <row r="7" ht="22.5" customHeight="1">
      <c r="A7" s="61" t="s">
        <v>129</v>
      </c>
      <c r="B7" s="61" t="s">
        <v>113</v>
      </c>
      <c r="C7" s="61" t="s">
        <v>114</v>
      </c>
      <c r="D7" s="62" t="s">
        <v>104</v>
      </c>
      <c r="E7" s="63">
        <v>1.947</v>
      </c>
      <c r="F7" s="61">
        <v>2024.0</v>
      </c>
      <c r="G7" s="61" t="s">
        <v>116</v>
      </c>
      <c r="H7" s="64" t="s">
        <v>126</v>
      </c>
      <c r="I7" s="61">
        <v>7100.0</v>
      </c>
      <c r="J7" s="67" t="s">
        <v>126</v>
      </c>
      <c r="K7" s="56"/>
      <c r="L7" s="70"/>
      <c r="M7" s="70"/>
      <c r="N7" s="70"/>
      <c r="O7" s="66" t="s">
        <v>130</v>
      </c>
      <c r="P7" s="71" t="s">
        <v>130</v>
      </c>
      <c r="Q7" s="71" t="s">
        <v>131</v>
      </c>
      <c r="R7" s="61">
        <v>2020.0</v>
      </c>
    </row>
    <row r="8" ht="22.5" customHeight="1">
      <c r="A8" s="52" t="s">
        <v>132</v>
      </c>
      <c r="B8" s="52" t="s">
        <v>133</v>
      </c>
      <c r="C8" s="53" t="s">
        <v>134</v>
      </c>
      <c r="D8" s="54" t="s">
        <v>104</v>
      </c>
      <c r="E8" s="55">
        <v>22.503</v>
      </c>
      <c r="F8" s="52">
        <v>2024.0</v>
      </c>
      <c r="G8" s="53" t="s">
        <v>105</v>
      </c>
      <c r="H8" s="52" t="s">
        <v>106</v>
      </c>
      <c r="I8" s="52">
        <v>140000.0</v>
      </c>
      <c r="J8" s="52" t="s">
        <v>106</v>
      </c>
      <c r="K8" s="56">
        <v>524739.0</v>
      </c>
      <c r="L8" s="57">
        <v>2024.0</v>
      </c>
      <c r="M8" s="57" t="s">
        <v>135</v>
      </c>
      <c r="N8" s="57" t="s">
        <v>136</v>
      </c>
      <c r="O8" s="60" t="s">
        <v>137</v>
      </c>
      <c r="P8" s="72" t="s">
        <v>138</v>
      </c>
      <c r="Q8" s="72" t="s">
        <v>139</v>
      </c>
      <c r="R8" s="53">
        <v>2002.0</v>
      </c>
    </row>
    <row r="9" ht="22.5" customHeight="1">
      <c r="A9" s="69" t="s">
        <v>140</v>
      </c>
      <c r="B9" s="61" t="s">
        <v>124</v>
      </c>
      <c r="C9" s="61" t="s">
        <v>114</v>
      </c>
      <c r="D9" s="62" t="s">
        <v>104</v>
      </c>
      <c r="E9" s="63"/>
      <c r="F9" s="61"/>
      <c r="G9" s="61"/>
      <c r="H9" s="73"/>
      <c r="I9" s="61"/>
      <c r="J9" s="73"/>
      <c r="K9" s="56"/>
      <c r="L9" s="70"/>
      <c r="M9" s="70"/>
      <c r="N9" s="70"/>
      <c r="O9" s="66" t="s">
        <v>141</v>
      </c>
      <c r="P9" s="67" t="s">
        <v>142</v>
      </c>
      <c r="Q9" s="66" t="s">
        <v>141</v>
      </c>
      <c r="R9" s="61" t="s">
        <v>143</v>
      </c>
    </row>
    <row r="10" ht="22.5" customHeight="1">
      <c r="A10" s="61" t="s">
        <v>144</v>
      </c>
      <c r="B10" s="61" t="s">
        <v>145</v>
      </c>
      <c r="C10" s="53" t="s">
        <v>134</v>
      </c>
      <c r="D10" s="74" t="s">
        <v>104</v>
      </c>
      <c r="E10" s="75">
        <v>41.918</v>
      </c>
      <c r="F10" s="52">
        <v>2024.0</v>
      </c>
      <c r="G10" s="53" t="s">
        <v>105</v>
      </c>
      <c r="H10" s="76" t="s">
        <v>106</v>
      </c>
      <c r="I10" s="61">
        <v>161281.0</v>
      </c>
      <c r="J10" s="76" t="s">
        <v>146</v>
      </c>
      <c r="K10" s="56">
        <v>545036.0</v>
      </c>
      <c r="L10" s="65">
        <v>2019.0</v>
      </c>
      <c r="M10" s="65" t="s">
        <v>147</v>
      </c>
      <c r="N10" s="65" t="s">
        <v>148</v>
      </c>
      <c r="O10" s="77" t="s">
        <v>149</v>
      </c>
      <c r="P10" s="78" t="s">
        <v>150</v>
      </c>
      <c r="Q10" s="78" t="s">
        <v>151</v>
      </c>
      <c r="R10" s="61">
        <v>2002.0</v>
      </c>
    </row>
    <row r="11" ht="22.5" customHeight="1">
      <c r="A11" s="69" t="s">
        <v>152</v>
      </c>
      <c r="B11" s="61" t="s">
        <v>124</v>
      </c>
      <c r="C11" s="61" t="s">
        <v>153</v>
      </c>
      <c r="D11" s="62" t="s">
        <v>104</v>
      </c>
      <c r="E11" s="63">
        <v>43.48</v>
      </c>
      <c r="F11" s="61">
        <v>2024.0</v>
      </c>
      <c r="G11" s="61" t="s">
        <v>154</v>
      </c>
      <c r="H11" s="64" t="s">
        <v>126</v>
      </c>
      <c r="I11" s="79">
        <v>46000.0</v>
      </c>
      <c r="J11" s="64" t="s">
        <v>155</v>
      </c>
      <c r="K11" s="56"/>
      <c r="L11" s="70"/>
      <c r="M11" s="70"/>
      <c r="N11" s="70"/>
      <c r="O11" s="66" t="s">
        <v>156</v>
      </c>
      <c r="P11" s="67" t="s">
        <v>157</v>
      </c>
      <c r="Q11" s="80" t="s">
        <v>158</v>
      </c>
      <c r="R11" s="61"/>
    </row>
    <row r="12" ht="22.5" customHeight="1">
      <c r="A12" s="69" t="s">
        <v>159</v>
      </c>
      <c r="B12" s="61" t="s">
        <v>124</v>
      </c>
      <c r="C12" s="61" t="s">
        <v>114</v>
      </c>
      <c r="D12" s="62" t="s">
        <v>104</v>
      </c>
      <c r="E12" s="63">
        <v>84683.0</v>
      </c>
      <c r="F12" s="61">
        <v>2024.0</v>
      </c>
      <c r="G12" s="61" t="s">
        <v>160</v>
      </c>
      <c r="H12" s="64" t="s">
        <v>126</v>
      </c>
      <c r="I12" s="61">
        <v>215000.0</v>
      </c>
      <c r="J12" s="64" t="s">
        <v>126</v>
      </c>
      <c r="K12" s="56"/>
      <c r="L12" s="70"/>
      <c r="M12" s="70"/>
      <c r="N12" s="70"/>
      <c r="O12" s="66" t="s">
        <v>161</v>
      </c>
      <c r="P12" s="67" t="s">
        <v>162</v>
      </c>
      <c r="Q12" s="80" t="s">
        <v>158</v>
      </c>
      <c r="R12" s="61" t="s">
        <v>163</v>
      </c>
    </row>
    <row r="13" ht="22.5" customHeight="1">
      <c r="A13" s="61" t="s">
        <v>164</v>
      </c>
      <c r="B13" s="61" t="s">
        <v>145</v>
      </c>
      <c r="C13" s="53" t="s">
        <v>134</v>
      </c>
      <c r="D13" s="62" t="s">
        <v>115</v>
      </c>
      <c r="E13" s="81"/>
      <c r="F13" s="82"/>
      <c r="G13" s="82"/>
      <c r="H13" s="82"/>
      <c r="I13" s="83"/>
      <c r="J13" s="83"/>
      <c r="K13" s="56"/>
      <c r="L13" s="70"/>
      <c r="M13" s="70"/>
      <c r="N13" s="70"/>
      <c r="O13" s="70"/>
      <c r="P13" s="84"/>
      <c r="Q13" s="84"/>
      <c r="R13" s="61" t="s">
        <v>165</v>
      </c>
    </row>
    <row r="14" ht="22.5" customHeight="1">
      <c r="A14" s="61" t="s">
        <v>166</v>
      </c>
      <c r="B14" s="61" t="s">
        <v>113</v>
      </c>
      <c r="C14" s="61" t="s">
        <v>114</v>
      </c>
      <c r="D14" s="62" t="s">
        <v>104</v>
      </c>
      <c r="E14" s="85">
        <v>3.108</v>
      </c>
      <c r="F14" s="61">
        <v>2024.0</v>
      </c>
      <c r="G14" s="61" t="s">
        <v>116</v>
      </c>
      <c r="H14" s="64" t="s">
        <v>126</v>
      </c>
      <c r="I14" s="61">
        <v>8175.0</v>
      </c>
      <c r="J14" s="64" t="s">
        <v>167</v>
      </c>
      <c r="K14" s="56">
        <v>227986.0</v>
      </c>
      <c r="L14" s="65">
        <v>2024.0</v>
      </c>
      <c r="M14" s="65" t="s">
        <v>119</v>
      </c>
      <c r="N14" s="70"/>
      <c r="O14" s="66" t="s">
        <v>168</v>
      </c>
      <c r="P14" s="86" t="s">
        <v>169</v>
      </c>
      <c r="Q14" s="71" t="s">
        <v>170</v>
      </c>
      <c r="R14" s="61">
        <v>2015.0</v>
      </c>
    </row>
    <row r="15" ht="22.5" customHeight="1">
      <c r="A15" s="61" t="s">
        <v>171</v>
      </c>
      <c r="B15" s="61" t="s">
        <v>113</v>
      </c>
      <c r="C15" s="61" t="s">
        <v>134</v>
      </c>
      <c r="D15" s="62" t="s">
        <v>104</v>
      </c>
      <c r="E15" s="63">
        <v>1.631</v>
      </c>
      <c r="F15" s="61">
        <v>2024.0</v>
      </c>
      <c r="G15" s="61" t="s">
        <v>116</v>
      </c>
      <c r="H15" s="64" t="s">
        <v>126</v>
      </c>
      <c r="I15" s="61">
        <v>8532.0</v>
      </c>
      <c r="J15" s="64" t="s">
        <v>126</v>
      </c>
      <c r="K15" s="56">
        <v>46217.0</v>
      </c>
      <c r="L15" s="65">
        <v>2024.0</v>
      </c>
      <c r="M15" s="65" t="s">
        <v>172</v>
      </c>
      <c r="N15" s="65" t="s">
        <v>173</v>
      </c>
      <c r="O15" s="77" t="s">
        <v>174</v>
      </c>
      <c r="P15" s="71" t="s">
        <v>175</v>
      </c>
      <c r="Q15" s="71" t="s">
        <v>176</v>
      </c>
      <c r="R15" s="61" t="s">
        <v>177</v>
      </c>
    </row>
    <row r="16" ht="22.5" customHeight="1">
      <c r="A16" s="61" t="s">
        <v>178</v>
      </c>
      <c r="B16" s="61" t="s">
        <v>113</v>
      </c>
      <c r="C16" s="61" t="s">
        <v>114</v>
      </c>
      <c r="D16" s="62" t="s">
        <v>104</v>
      </c>
      <c r="E16" s="87">
        <v>5.4</v>
      </c>
      <c r="F16" s="61">
        <v>2024.0</v>
      </c>
      <c r="G16" s="61" t="s">
        <v>116</v>
      </c>
      <c r="H16" s="76" t="s">
        <v>126</v>
      </c>
      <c r="I16" s="61">
        <v>15261.0</v>
      </c>
      <c r="J16" s="76" t="s">
        <v>126</v>
      </c>
      <c r="K16" s="56">
        <v>4861.0</v>
      </c>
      <c r="L16" s="65">
        <v>2024.0</v>
      </c>
      <c r="M16" s="65" t="s">
        <v>179</v>
      </c>
      <c r="N16" s="65" t="s">
        <v>180</v>
      </c>
      <c r="O16" s="77" t="s">
        <v>181</v>
      </c>
      <c r="P16" s="71" t="s">
        <v>182</v>
      </c>
      <c r="Q16" s="78" t="s">
        <v>183</v>
      </c>
      <c r="R16" s="64">
        <v>2013.0</v>
      </c>
    </row>
    <row r="17" ht="22.5" customHeight="1">
      <c r="A17" s="52" t="s">
        <v>184</v>
      </c>
      <c r="B17" s="52" t="s">
        <v>102</v>
      </c>
      <c r="C17" s="53" t="s">
        <v>103</v>
      </c>
      <c r="D17" s="54" t="s">
        <v>104</v>
      </c>
      <c r="E17" s="55">
        <v>9.488238824</v>
      </c>
      <c r="F17" s="52">
        <v>2024.0</v>
      </c>
      <c r="G17" s="53" t="s">
        <v>105</v>
      </c>
      <c r="H17" s="52" t="s">
        <v>106</v>
      </c>
      <c r="I17" s="52">
        <v>20000.0</v>
      </c>
      <c r="J17" s="52" t="s">
        <v>106</v>
      </c>
      <c r="K17" s="56"/>
      <c r="L17" s="88"/>
      <c r="M17" s="88"/>
      <c r="N17" s="88"/>
      <c r="O17" s="59" t="s">
        <v>185</v>
      </c>
      <c r="P17" s="89" t="s">
        <v>186</v>
      </c>
      <c r="Q17" s="89" t="s">
        <v>187</v>
      </c>
      <c r="R17" s="53">
        <v>2000.0</v>
      </c>
    </row>
    <row r="18" ht="22.5" customHeight="1">
      <c r="A18" s="69" t="s">
        <v>188</v>
      </c>
      <c r="B18" s="61" t="s">
        <v>113</v>
      </c>
      <c r="C18" s="61" t="s">
        <v>114</v>
      </c>
      <c r="D18" s="62" t="s">
        <v>104</v>
      </c>
      <c r="E18" s="63">
        <v>1.035</v>
      </c>
      <c r="F18" s="61">
        <v>2024.0</v>
      </c>
      <c r="G18" s="61" t="s">
        <v>116</v>
      </c>
      <c r="H18" s="64" t="s">
        <v>126</v>
      </c>
      <c r="I18" s="61">
        <v>3585.0</v>
      </c>
      <c r="J18" s="64" t="s">
        <v>189</v>
      </c>
      <c r="K18" s="56"/>
      <c r="L18" s="70"/>
      <c r="M18" s="70"/>
      <c r="N18" s="70"/>
      <c r="O18" s="66" t="s">
        <v>190</v>
      </c>
      <c r="P18" s="67" t="s">
        <v>191</v>
      </c>
      <c r="Q18" s="68" t="s">
        <v>192</v>
      </c>
      <c r="R18" s="61">
        <v>2015.0</v>
      </c>
    </row>
    <row r="19" ht="22.5" customHeight="1">
      <c r="A19" s="53" t="s">
        <v>193</v>
      </c>
      <c r="B19" s="52" t="s">
        <v>102</v>
      </c>
      <c r="C19" s="53" t="s">
        <v>194</v>
      </c>
      <c r="D19" s="90" t="s">
        <v>104</v>
      </c>
      <c r="E19" s="75">
        <v>12.053</v>
      </c>
      <c r="F19" s="52">
        <v>2024.0</v>
      </c>
      <c r="G19" s="53" t="s">
        <v>105</v>
      </c>
      <c r="H19" s="76" t="s">
        <v>106</v>
      </c>
      <c r="I19" s="53">
        <v>15463.0</v>
      </c>
      <c r="J19" s="52" t="s">
        <v>106</v>
      </c>
      <c r="K19" s="56"/>
      <c r="L19" s="88"/>
      <c r="M19" s="88"/>
      <c r="N19" s="57" t="s">
        <v>195</v>
      </c>
      <c r="O19" s="60" t="s">
        <v>196</v>
      </c>
      <c r="P19" s="72" t="s">
        <v>197</v>
      </c>
      <c r="Q19" s="72" t="s">
        <v>198</v>
      </c>
      <c r="R19" s="53">
        <v>2016.0</v>
      </c>
    </row>
    <row r="20" ht="22.5" customHeight="1">
      <c r="A20" s="61" t="s">
        <v>199</v>
      </c>
      <c r="B20" s="61" t="s">
        <v>200</v>
      </c>
      <c r="C20" s="61" t="s">
        <v>134</v>
      </c>
      <c r="D20" s="62" t="s">
        <v>115</v>
      </c>
      <c r="E20" s="91">
        <v>9.448</v>
      </c>
      <c r="F20" s="61">
        <v>2024.0</v>
      </c>
      <c r="G20" s="61" t="s">
        <v>201</v>
      </c>
      <c r="H20" s="64" t="s">
        <v>202</v>
      </c>
      <c r="I20" s="61">
        <v>82000.0</v>
      </c>
      <c r="J20" s="64" t="s">
        <v>202</v>
      </c>
      <c r="K20" s="56"/>
      <c r="L20" s="70"/>
      <c r="M20" s="70"/>
      <c r="N20" s="65"/>
      <c r="O20" s="92" t="s">
        <v>203</v>
      </c>
      <c r="P20" s="78" t="s">
        <v>204</v>
      </c>
      <c r="Q20" s="71" t="s">
        <v>205</v>
      </c>
      <c r="R20" s="61">
        <v>2014.0</v>
      </c>
    </row>
    <row r="21">
      <c r="A21" s="2"/>
      <c r="B21" s="93"/>
      <c r="C21" s="2"/>
      <c r="D21" s="2"/>
      <c r="E21" s="2"/>
      <c r="F21" s="94"/>
      <c r="G21" s="95"/>
      <c r="H21" s="2"/>
      <c r="I21" s="2"/>
      <c r="J21" s="2"/>
      <c r="L21" s="2"/>
      <c r="M21" s="2"/>
      <c r="N21" s="95"/>
      <c r="O21" s="2"/>
      <c r="P21" s="2"/>
      <c r="Q21" s="96"/>
    </row>
    <row r="22">
      <c r="A22" s="2"/>
      <c r="B22" s="2"/>
      <c r="C22" s="2"/>
      <c r="D22" s="2"/>
      <c r="E22" s="2"/>
      <c r="F22" s="94"/>
      <c r="G22" s="95"/>
      <c r="H22" s="2"/>
      <c r="I22" s="2"/>
      <c r="J22" s="2"/>
      <c r="L22" s="2"/>
      <c r="M22" s="2"/>
      <c r="N22" s="95"/>
      <c r="O22" s="2"/>
      <c r="P22" s="2"/>
      <c r="Q22" s="96"/>
    </row>
    <row r="23">
      <c r="A23" s="2"/>
      <c r="B23" s="93"/>
      <c r="C23" s="2"/>
      <c r="D23" s="2"/>
      <c r="E23" s="2"/>
      <c r="F23" s="94"/>
      <c r="G23" s="95"/>
      <c r="H23" s="2"/>
      <c r="I23" s="2"/>
      <c r="J23" s="2"/>
      <c r="L23" s="2"/>
      <c r="M23" s="2"/>
      <c r="N23" s="95"/>
      <c r="O23" s="2"/>
      <c r="P23" s="2"/>
      <c r="Q23" s="96"/>
    </row>
    <row r="24">
      <c r="A24" s="2"/>
      <c r="B24" s="97"/>
      <c r="C24" s="2"/>
      <c r="D24" s="2"/>
      <c r="E24" s="2"/>
      <c r="F24" s="94"/>
      <c r="G24" s="95"/>
      <c r="H24" s="2"/>
      <c r="I24" s="95"/>
      <c r="J24" s="2"/>
      <c r="L24" s="2"/>
      <c r="M24" s="2"/>
      <c r="N24" s="95"/>
      <c r="O24" s="2"/>
      <c r="P24" s="2"/>
      <c r="Q24" s="96"/>
    </row>
    <row r="25">
      <c r="A25" s="2"/>
      <c r="B25" s="97"/>
      <c r="C25" s="2"/>
      <c r="D25" s="2"/>
      <c r="E25" s="2"/>
      <c r="F25" s="94"/>
      <c r="G25" s="95"/>
      <c r="H25" s="2"/>
      <c r="I25" s="95"/>
      <c r="J25" s="2"/>
      <c r="L25" s="2"/>
      <c r="M25" s="2"/>
      <c r="N25" s="95"/>
      <c r="O25" s="98"/>
      <c r="P25" s="2"/>
      <c r="Q25" s="96"/>
    </row>
    <row r="26">
      <c r="A26" s="2"/>
      <c r="B26" s="97"/>
      <c r="C26" s="2"/>
      <c r="D26" s="2"/>
      <c r="E26" s="2"/>
      <c r="F26" s="94"/>
      <c r="G26" s="95"/>
      <c r="H26" s="2"/>
      <c r="I26" s="95"/>
      <c r="J26" s="2"/>
      <c r="L26" s="2"/>
      <c r="M26" s="2"/>
      <c r="N26" s="95"/>
      <c r="O26" s="2"/>
      <c r="P26" s="2"/>
      <c r="Q26" s="2"/>
    </row>
    <row r="27">
      <c r="A27" s="2"/>
      <c r="B27" s="97"/>
      <c r="C27" s="2"/>
      <c r="D27" s="2"/>
      <c r="E27" s="2"/>
      <c r="F27" s="94"/>
      <c r="G27" s="95"/>
      <c r="H27" s="2"/>
      <c r="I27" s="95"/>
      <c r="J27" s="2"/>
      <c r="L27" s="2"/>
      <c r="M27" s="2"/>
      <c r="N27" s="95"/>
      <c r="O27" s="2"/>
      <c r="P27" s="2"/>
      <c r="Q27" s="2"/>
    </row>
    <row r="28">
      <c r="A28" s="2"/>
      <c r="B28" s="97"/>
      <c r="C28" s="2"/>
      <c r="D28" s="2"/>
      <c r="E28" s="2"/>
      <c r="F28" s="94"/>
      <c r="G28" s="95"/>
      <c r="H28" s="2"/>
      <c r="I28" s="95"/>
      <c r="J28" s="2"/>
      <c r="L28" s="2"/>
      <c r="M28" s="2"/>
      <c r="N28" s="95"/>
      <c r="O28" s="98"/>
      <c r="P28" s="2"/>
      <c r="Q28" s="2"/>
    </row>
    <row r="29">
      <c r="A29" s="2"/>
      <c r="B29" s="97"/>
      <c r="C29" s="2"/>
      <c r="D29" s="2"/>
      <c r="E29" s="2"/>
      <c r="F29" s="94"/>
      <c r="G29" s="95"/>
      <c r="H29" s="2"/>
      <c r="I29" s="95"/>
      <c r="J29" s="2"/>
      <c r="L29" s="2"/>
      <c r="M29" s="2"/>
      <c r="N29" s="95"/>
      <c r="O29" s="2"/>
      <c r="P29" s="2"/>
      <c r="Q29" s="96"/>
    </row>
    <row r="30">
      <c r="A30" s="2"/>
      <c r="B30" s="97"/>
      <c r="C30" s="2"/>
      <c r="D30" s="2"/>
      <c r="E30" s="2"/>
      <c r="F30" s="94"/>
      <c r="G30" s="95"/>
      <c r="H30" s="2"/>
      <c r="I30" s="95"/>
      <c r="J30" s="2"/>
      <c r="L30" s="2"/>
      <c r="M30" s="2"/>
      <c r="N30" s="95"/>
      <c r="O30" s="2"/>
      <c r="P30" s="2"/>
      <c r="Q30" s="96"/>
    </row>
    <row r="31">
      <c r="A31" s="2"/>
      <c r="B31" s="97"/>
      <c r="C31" s="2"/>
      <c r="D31" s="2"/>
      <c r="E31" s="2"/>
      <c r="F31" s="94"/>
      <c r="G31" s="95"/>
      <c r="H31" s="2"/>
      <c r="I31" s="95"/>
      <c r="J31" s="2"/>
      <c r="L31" s="2"/>
      <c r="M31" s="2"/>
      <c r="N31" s="95"/>
      <c r="O31" s="2"/>
      <c r="P31" s="2"/>
      <c r="Q31" s="2"/>
    </row>
    <row r="32">
      <c r="A32" s="2"/>
      <c r="B32" s="97"/>
      <c r="C32" s="2"/>
      <c r="D32" s="2"/>
      <c r="E32" s="2"/>
      <c r="F32" s="94"/>
      <c r="G32" s="95"/>
      <c r="H32" s="2"/>
      <c r="I32" s="95"/>
      <c r="J32" s="2"/>
      <c r="L32" s="2"/>
      <c r="M32" s="2"/>
      <c r="N32" s="2"/>
      <c r="O32" s="2"/>
      <c r="P32" s="2"/>
      <c r="Q32" s="2"/>
    </row>
    <row r="33">
      <c r="A33" s="2"/>
      <c r="B33" s="97"/>
      <c r="C33" s="2"/>
      <c r="D33" s="2"/>
      <c r="E33" s="2"/>
      <c r="F33" s="94"/>
      <c r="G33" s="95"/>
      <c r="H33" s="2"/>
      <c r="I33" s="95"/>
      <c r="J33" s="2"/>
      <c r="L33" s="2"/>
      <c r="M33" s="2"/>
      <c r="N33" s="95"/>
      <c r="O33" s="2"/>
      <c r="P33" s="2"/>
      <c r="Q33" s="2"/>
    </row>
    <row r="34">
      <c r="A34" s="2"/>
      <c r="B34" s="97"/>
      <c r="C34" s="2"/>
      <c r="D34" s="2"/>
      <c r="E34" s="2"/>
      <c r="F34" s="94"/>
      <c r="G34" s="95"/>
      <c r="H34" s="2"/>
      <c r="I34" s="95"/>
      <c r="J34" s="2"/>
      <c r="L34" s="2"/>
      <c r="M34" s="2"/>
      <c r="N34" s="95"/>
      <c r="O34" s="98"/>
      <c r="P34" s="2"/>
      <c r="Q34" s="2"/>
    </row>
    <row r="35">
      <c r="A35" s="2"/>
      <c r="B35" s="97"/>
      <c r="C35" s="2"/>
      <c r="D35" s="2"/>
      <c r="E35" s="2"/>
      <c r="F35" s="94"/>
      <c r="G35" s="95"/>
      <c r="H35" s="2"/>
      <c r="I35" s="95"/>
      <c r="J35" s="2"/>
      <c r="L35" s="2"/>
      <c r="M35" s="2"/>
      <c r="N35" s="2"/>
      <c r="O35" s="2"/>
      <c r="P35" s="2"/>
      <c r="Q35" s="2"/>
    </row>
    <row r="36">
      <c r="A36" s="2"/>
      <c r="B36" s="97"/>
      <c r="C36" s="2"/>
      <c r="D36" s="2"/>
      <c r="E36" s="2"/>
      <c r="F36" s="94"/>
      <c r="G36" s="95"/>
      <c r="H36" s="2"/>
      <c r="I36" s="95"/>
      <c r="J36" s="2"/>
      <c r="L36" s="2"/>
      <c r="M36" s="2"/>
      <c r="N36" s="2"/>
      <c r="O36" s="2"/>
      <c r="P36" s="2"/>
      <c r="Q36" s="2"/>
    </row>
    <row r="37">
      <c r="A37" s="2"/>
      <c r="B37" s="97"/>
      <c r="C37" s="2"/>
      <c r="D37" s="2"/>
      <c r="E37" s="2"/>
      <c r="F37" s="94"/>
      <c r="G37" s="95"/>
      <c r="H37" s="2"/>
      <c r="I37" s="95"/>
      <c r="J37" s="2"/>
      <c r="L37" s="2"/>
      <c r="M37" s="2"/>
      <c r="N37" s="2"/>
      <c r="O37" s="2"/>
      <c r="P37" s="2"/>
      <c r="Q37" s="2"/>
    </row>
    <row r="38">
      <c r="A38" s="2"/>
      <c r="B38" s="97"/>
      <c r="C38" s="2"/>
      <c r="D38" s="2"/>
      <c r="E38" s="2"/>
      <c r="F38" s="94"/>
      <c r="G38" s="95"/>
      <c r="H38" s="2"/>
      <c r="I38" s="95"/>
      <c r="J38" s="2"/>
      <c r="L38" s="2"/>
      <c r="M38" s="2"/>
      <c r="N38" s="2"/>
      <c r="O38" s="2"/>
      <c r="P38" s="2"/>
      <c r="Q38" s="2"/>
    </row>
    <row r="39">
      <c r="A39" s="2"/>
      <c r="B39" s="97"/>
      <c r="C39" s="2"/>
      <c r="D39" s="2"/>
      <c r="E39" s="2"/>
      <c r="F39" s="94"/>
      <c r="G39" s="95"/>
      <c r="H39" s="2"/>
      <c r="I39" s="95"/>
      <c r="J39" s="2"/>
      <c r="L39" s="2"/>
      <c r="M39" s="2"/>
      <c r="N39" s="2"/>
      <c r="O39" s="2"/>
      <c r="P39" s="2"/>
      <c r="Q39" s="2"/>
    </row>
    <row r="40">
      <c r="A40" s="2"/>
      <c r="B40" s="97"/>
      <c r="C40" s="2"/>
      <c r="D40" s="2"/>
      <c r="E40" s="2"/>
      <c r="F40" s="94"/>
      <c r="G40" s="95"/>
      <c r="H40" s="2"/>
      <c r="I40" s="95"/>
      <c r="J40" s="2"/>
      <c r="L40" s="2"/>
      <c r="M40" s="2"/>
      <c r="N40" s="2"/>
      <c r="O40" s="2"/>
      <c r="P40" s="2"/>
      <c r="Q40" s="2"/>
    </row>
    <row r="41">
      <c r="A41" s="2"/>
      <c r="B41" s="97"/>
      <c r="C41" s="2"/>
      <c r="D41" s="2"/>
      <c r="E41" s="2"/>
      <c r="F41" s="94"/>
      <c r="G41" s="95"/>
      <c r="H41" s="2"/>
      <c r="I41" s="95"/>
      <c r="J41" s="2"/>
      <c r="L41" s="2"/>
      <c r="M41" s="2"/>
      <c r="N41" s="2"/>
      <c r="O41" s="2"/>
      <c r="P41" s="2"/>
      <c r="Q41" s="2"/>
    </row>
    <row r="42">
      <c r="A42" s="2"/>
      <c r="B42" s="97"/>
      <c r="C42" s="2"/>
      <c r="D42" s="2"/>
      <c r="E42" s="2"/>
      <c r="F42" s="94"/>
      <c r="G42" s="95"/>
      <c r="H42" s="2"/>
      <c r="I42" s="95"/>
      <c r="J42" s="2"/>
      <c r="L42" s="2"/>
      <c r="M42" s="2"/>
      <c r="N42" s="2"/>
      <c r="O42" s="2"/>
      <c r="P42" s="2"/>
      <c r="Q42" s="2"/>
    </row>
    <row r="43">
      <c r="A43" s="2"/>
      <c r="B43" s="97"/>
      <c r="C43" s="2"/>
      <c r="D43" s="2"/>
      <c r="E43" s="2"/>
      <c r="F43" s="94"/>
      <c r="G43" s="95"/>
      <c r="H43" s="2"/>
      <c r="I43" s="95"/>
      <c r="J43" s="2"/>
      <c r="L43" s="2"/>
      <c r="M43" s="2"/>
      <c r="N43" s="2"/>
      <c r="O43" s="2"/>
      <c r="P43" s="2"/>
      <c r="Q43" s="2"/>
    </row>
    <row r="44">
      <c r="A44" s="2"/>
      <c r="B44" s="97"/>
      <c r="C44" s="2"/>
      <c r="D44" s="2"/>
      <c r="E44" s="2"/>
      <c r="F44" s="94"/>
      <c r="G44" s="95"/>
      <c r="H44" s="2"/>
      <c r="I44" s="95"/>
      <c r="J44" s="2"/>
      <c r="L44" s="2"/>
      <c r="M44" s="2"/>
      <c r="N44" s="2"/>
      <c r="O44" s="2"/>
      <c r="P44" s="2"/>
      <c r="Q44" s="2"/>
    </row>
    <row r="45">
      <c r="A45" s="2"/>
      <c r="B45" s="97"/>
      <c r="C45" s="2"/>
      <c r="D45" s="2"/>
      <c r="E45" s="2"/>
      <c r="F45" s="94"/>
      <c r="G45" s="95"/>
      <c r="H45" s="2"/>
      <c r="I45" s="95"/>
      <c r="J45" s="2"/>
      <c r="L45" s="2"/>
      <c r="M45" s="2"/>
      <c r="N45" s="2"/>
      <c r="O45" s="2"/>
      <c r="P45" s="2"/>
      <c r="Q45" s="2"/>
    </row>
    <row r="46">
      <c r="A46" s="2"/>
      <c r="B46" s="97"/>
      <c r="C46" s="2"/>
      <c r="D46" s="2"/>
      <c r="E46" s="2"/>
      <c r="F46" s="94"/>
      <c r="G46" s="95"/>
      <c r="H46" s="2"/>
      <c r="I46" s="95"/>
      <c r="J46" s="2"/>
      <c r="L46" s="2"/>
      <c r="M46" s="2"/>
      <c r="N46" s="2"/>
      <c r="O46" s="2"/>
      <c r="P46" s="2"/>
      <c r="Q46" s="2"/>
    </row>
    <row r="47">
      <c r="A47" s="2"/>
      <c r="B47" s="97"/>
      <c r="C47" s="2"/>
      <c r="D47" s="2"/>
      <c r="E47" s="2"/>
      <c r="F47" s="94"/>
      <c r="G47" s="95"/>
      <c r="H47" s="2"/>
      <c r="I47" s="95"/>
      <c r="J47" s="2"/>
      <c r="L47" s="2"/>
      <c r="M47" s="2"/>
      <c r="N47" s="2"/>
      <c r="O47" s="2"/>
      <c r="P47" s="2"/>
      <c r="Q47" s="2"/>
    </row>
    <row r="48">
      <c r="A48" s="2"/>
      <c r="B48" s="97"/>
      <c r="C48" s="2"/>
      <c r="D48" s="2"/>
      <c r="E48" s="2"/>
      <c r="F48" s="94"/>
      <c r="G48" s="95"/>
      <c r="H48" s="2"/>
      <c r="I48" s="2"/>
      <c r="J48" s="2"/>
      <c r="L48" s="2"/>
      <c r="M48" s="2"/>
      <c r="N48" s="95"/>
      <c r="O48" s="95"/>
      <c r="P48" s="2"/>
      <c r="Q48" s="99"/>
    </row>
    <row r="49">
      <c r="A49" s="2"/>
      <c r="B49" s="97"/>
      <c r="C49" s="2"/>
      <c r="D49" s="2"/>
      <c r="E49" s="2"/>
      <c r="F49" s="94"/>
      <c r="G49" s="95"/>
      <c r="H49" s="2"/>
      <c r="I49" s="95"/>
      <c r="J49" s="2"/>
      <c r="L49" s="2"/>
      <c r="M49" s="2"/>
      <c r="N49" s="2"/>
      <c r="O49" s="2"/>
      <c r="P49" s="2"/>
      <c r="Q49" s="2"/>
    </row>
    <row r="50">
      <c r="A50" s="2"/>
      <c r="B50" s="97"/>
      <c r="C50" s="2"/>
      <c r="D50" s="2"/>
      <c r="E50" s="2"/>
      <c r="F50" s="94"/>
      <c r="G50" s="95"/>
      <c r="H50" s="2"/>
      <c r="I50" s="95"/>
      <c r="J50" s="2"/>
      <c r="L50" s="2"/>
      <c r="M50" s="2"/>
      <c r="N50" s="2"/>
      <c r="O50" s="2"/>
      <c r="P50" s="2"/>
      <c r="Q50" s="2"/>
    </row>
    <row r="51">
      <c r="A51" s="2"/>
      <c r="B51" s="97"/>
      <c r="C51" s="2"/>
      <c r="D51" s="2"/>
      <c r="E51" s="2"/>
      <c r="F51" s="94"/>
      <c r="G51" s="95"/>
      <c r="H51" s="2"/>
      <c r="I51" s="95"/>
      <c r="J51" s="2"/>
      <c r="L51" s="2"/>
      <c r="M51" s="2"/>
      <c r="N51" s="2"/>
      <c r="O51" s="2"/>
      <c r="P51" s="2"/>
      <c r="Q51" s="2"/>
    </row>
    <row r="52">
      <c r="A52" s="2"/>
      <c r="B52" s="97"/>
      <c r="C52" s="2"/>
      <c r="D52" s="2"/>
      <c r="E52" s="2"/>
      <c r="F52" s="94"/>
      <c r="G52" s="95"/>
      <c r="H52" s="2"/>
      <c r="I52" s="95"/>
      <c r="J52" s="2"/>
      <c r="L52" s="2"/>
      <c r="M52" s="2"/>
      <c r="N52" s="2"/>
      <c r="O52" s="2"/>
      <c r="P52" s="2"/>
      <c r="Q52" s="2"/>
    </row>
    <row r="53">
      <c r="A53" s="2"/>
      <c r="B53" s="97"/>
      <c r="C53" s="2"/>
      <c r="D53" s="2"/>
      <c r="E53" s="2"/>
      <c r="F53" s="94"/>
      <c r="G53" s="95"/>
      <c r="H53" s="2"/>
      <c r="I53" s="2"/>
      <c r="J53" s="2"/>
      <c r="L53" s="2"/>
      <c r="M53" s="2"/>
      <c r="N53" s="95"/>
      <c r="O53" s="95"/>
      <c r="P53" s="2"/>
      <c r="Q53" s="99"/>
    </row>
    <row r="54">
      <c r="A54" s="2"/>
      <c r="B54" s="97"/>
      <c r="C54" s="2"/>
      <c r="D54" s="2"/>
      <c r="E54" s="2"/>
      <c r="F54" s="94"/>
      <c r="G54" s="95"/>
      <c r="H54" s="2"/>
      <c r="I54" s="2"/>
      <c r="J54" s="2"/>
      <c r="L54" s="2"/>
      <c r="M54" s="2"/>
      <c r="N54" s="95"/>
      <c r="O54" s="95"/>
      <c r="P54" s="2"/>
      <c r="Q54" s="99"/>
    </row>
    <row r="55">
      <c r="A55" s="2"/>
      <c r="B55" s="93"/>
      <c r="C55" s="2"/>
      <c r="D55" s="2"/>
      <c r="E55" s="2"/>
      <c r="F55" s="94"/>
      <c r="G55" s="95"/>
      <c r="H55" s="2"/>
      <c r="I55" s="2"/>
      <c r="J55" s="2"/>
      <c r="L55" s="2"/>
      <c r="M55" s="2"/>
      <c r="N55" s="95"/>
      <c r="O55" s="2"/>
      <c r="P55" s="2"/>
      <c r="Q55" s="2"/>
    </row>
    <row r="56">
      <c r="G56" s="45"/>
    </row>
    <row r="57">
      <c r="G57" s="45"/>
    </row>
    <row r="58">
      <c r="G58" s="45"/>
    </row>
    <row r="59">
      <c r="G59" s="45"/>
    </row>
    <row r="60">
      <c r="G60" s="45"/>
    </row>
    <row r="61">
      <c r="G61" s="45"/>
    </row>
    <row r="62">
      <c r="G62" s="45"/>
    </row>
    <row r="63">
      <c r="G63" s="45"/>
    </row>
    <row r="64">
      <c r="G64" s="45"/>
    </row>
    <row r="65">
      <c r="G65" s="45"/>
    </row>
    <row r="66">
      <c r="G66" s="45"/>
    </row>
    <row r="67">
      <c r="G67" s="45"/>
    </row>
    <row r="68">
      <c r="G68" s="45"/>
    </row>
    <row r="69">
      <c r="G69" s="45"/>
    </row>
    <row r="70">
      <c r="G70" s="45"/>
    </row>
    <row r="71">
      <c r="G71" s="45"/>
    </row>
    <row r="72">
      <c r="G72" s="45"/>
    </row>
    <row r="73">
      <c r="G73" s="45"/>
    </row>
    <row r="74">
      <c r="G74" s="45"/>
    </row>
    <row r="75">
      <c r="G75" s="45"/>
    </row>
    <row r="76">
      <c r="G76" s="45"/>
    </row>
    <row r="77">
      <c r="G77" s="45"/>
    </row>
    <row r="78">
      <c r="G78" s="45"/>
    </row>
    <row r="79">
      <c r="G79" s="45"/>
    </row>
    <row r="80">
      <c r="G80" s="45"/>
    </row>
    <row r="81">
      <c r="G81" s="45"/>
    </row>
    <row r="82">
      <c r="G82" s="45"/>
    </row>
    <row r="83">
      <c r="G83" s="45"/>
    </row>
    <row r="84">
      <c r="G84" s="45"/>
    </row>
    <row r="85">
      <c r="G85" s="45"/>
    </row>
    <row r="86">
      <c r="G86" s="45"/>
    </row>
    <row r="87">
      <c r="G87" s="45"/>
    </row>
    <row r="88">
      <c r="G88" s="45"/>
    </row>
    <row r="89">
      <c r="G89" s="45"/>
    </row>
    <row r="90">
      <c r="G90" s="45"/>
    </row>
    <row r="91">
      <c r="G91" s="45"/>
    </row>
    <row r="92">
      <c r="G92" s="45"/>
    </row>
    <row r="93">
      <c r="G93" s="45"/>
    </row>
    <row r="94">
      <c r="G94" s="45"/>
    </row>
    <row r="95">
      <c r="G95" s="45"/>
    </row>
    <row r="96">
      <c r="G96" s="45"/>
    </row>
    <row r="97">
      <c r="G97" s="45"/>
    </row>
    <row r="98">
      <c r="G98" s="45"/>
    </row>
    <row r="99">
      <c r="G99" s="45"/>
    </row>
    <row r="100">
      <c r="G100" s="45"/>
    </row>
    <row r="101">
      <c r="G101" s="45"/>
    </row>
    <row r="102">
      <c r="G102" s="45"/>
    </row>
    <row r="103">
      <c r="G103" s="45"/>
    </row>
    <row r="104">
      <c r="G104" s="45"/>
    </row>
    <row r="105">
      <c r="G105" s="45"/>
    </row>
    <row r="106">
      <c r="G106" s="45"/>
    </row>
    <row r="107">
      <c r="G107" s="45"/>
    </row>
    <row r="108">
      <c r="G108" s="45"/>
    </row>
    <row r="109">
      <c r="G109" s="45"/>
    </row>
    <row r="110">
      <c r="G110" s="45"/>
    </row>
    <row r="111">
      <c r="G111" s="45"/>
    </row>
    <row r="112">
      <c r="G112" s="45"/>
    </row>
    <row r="113">
      <c r="G113" s="45"/>
    </row>
    <row r="114">
      <c r="G114" s="45"/>
    </row>
    <row r="115">
      <c r="G115" s="45"/>
    </row>
    <row r="116">
      <c r="G116" s="45"/>
    </row>
    <row r="117">
      <c r="G117" s="45"/>
    </row>
    <row r="118">
      <c r="G118" s="45"/>
    </row>
    <row r="119">
      <c r="G119" s="45"/>
    </row>
    <row r="120">
      <c r="G120" s="45"/>
    </row>
    <row r="121">
      <c r="G121" s="45"/>
    </row>
    <row r="122">
      <c r="G122" s="45"/>
    </row>
    <row r="123">
      <c r="G123" s="45"/>
    </row>
    <row r="124">
      <c r="G124" s="45"/>
    </row>
    <row r="125">
      <c r="G125" s="45"/>
    </row>
    <row r="126">
      <c r="G126" s="45"/>
    </row>
    <row r="127">
      <c r="G127" s="45"/>
    </row>
    <row r="128">
      <c r="G128" s="45"/>
    </row>
    <row r="129">
      <c r="G129" s="45"/>
    </row>
    <row r="130">
      <c r="G130" s="45"/>
    </row>
    <row r="131">
      <c r="G131" s="45"/>
    </row>
    <row r="132">
      <c r="G132" s="45"/>
    </row>
    <row r="133">
      <c r="G133" s="45"/>
    </row>
    <row r="134">
      <c r="G134" s="45"/>
    </row>
    <row r="135">
      <c r="G135" s="45"/>
    </row>
    <row r="136">
      <c r="G136" s="45"/>
    </row>
    <row r="137">
      <c r="G137" s="45"/>
    </row>
    <row r="138">
      <c r="G138" s="45"/>
    </row>
    <row r="139">
      <c r="G139" s="45"/>
    </row>
    <row r="140">
      <c r="G140" s="45"/>
    </row>
    <row r="141">
      <c r="G141" s="45"/>
    </row>
    <row r="142">
      <c r="G142" s="45"/>
    </row>
    <row r="143">
      <c r="G143" s="45"/>
    </row>
    <row r="144">
      <c r="G144" s="45"/>
    </row>
    <row r="145">
      <c r="G145" s="45"/>
    </row>
    <row r="146">
      <c r="G146" s="45"/>
    </row>
    <row r="147">
      <c r="G147" s="45"/>
    </row>
    <row r="148">
      <c r="G148" s="45"/>
    </row>
    <row r="149">
      <c r="G149" s="45"/>
    </row>
    <row r="150">
      <c r="G150" s="45"/>
    </row>
    <row r="151">
      <c r="G151" s="45"/>
    </row>
    <row r="152">
      <c r="G152" s="45"/>
    </row>
    <row r="153">
      <c r="G153" s="45"/>
    </row>
    <row r="154">
      <c r="G154" s="45"/>
    </row>
    <row r="155">
      <c r="G155" s="45"/>
    </row>
    <row r="156">
      <c r="G156" s="45"/>
    </row>
    <row r="157">
      <c r="G157" s="45"/>
    </row>
    <row r="158">
      <c r="G158" s="45"/>
    </row>
    <row r="159">
      <c r="G159" s="45"/>
    </row>
    <row r="160">
      <c r="G160" s="45"/>
    </row>
    <row r="161">
      <c r="G161" s="45"/>
    </row>
    <row r="162">
      <c r="G162" s="45"/>
    </row>
    <row r="163">
      <c r="G163" s="45"/>
    </row>
    <row r="164">
      <c r="G164" s="45"/>
    </row>
    <row r="165">
      <c r="G165" s="45"/>
    </row>
    <row r="166">
      <c r="G166" s="45"/>
    </row>
    <row r="167">
      <c r="G167" s="45"/>
    </row>
    <row r="168">
      <c r="G168" s="45"/>
    </row>
    <row r="169">
      <c r="G169" s="45"/>
    </row>
    <row r="170">
      <c r="G170" s="45"/>
    </row>
    <row r="171">
      <c r="G171" s="45"/>
    </row>
    <row r="172">
      <c r="G172" s="45"/>
    </row>
    <row r="173">
      <c r="G173" s="45"/>
    </row>
    <row r="174">
      <c r="G174" s="45"/>
    </row>
    <row r="175">
      <c r="G175" s="45"/>
    </row>
    <row r="176">
      <c r="G176" s="45"/>
    </row>
    <row r="177">
      <c r="G177" s="45"/>
    </row>
    <row r="178">
      <c r="G178" s="45"/>
    </row>
    <row r="179">
      <c r="G179" s="45"/>
    </row>
    <row r="180">
      <c r="G180" s="45"/>
    </row>
    <row r="181">
      <c r="G181" s="45"/>
    </row>
    <row r="182">
      <c r="G182" s="45"/>
    </row>
    <row r="183">
      <c r="G183" s="45"/>
    </row>
    <row r="184">
      <c r="G184" s="45"/>
    </row>
    <row r="185">
      <c r="G185" s="45"/>
    </row>
    <row r="186">
      <c r="G186" s="45"/>
    </row>
    <row r="187">
      <c r="G187" s="45"/>
    </row>
    <row r="188">
      <c r="G188" s="45"/>
    </row>
    <row r="189">
      <c r="G189" s="45"/>
    </row>
    <row r="190">
      <c r="G190" s="45"/>
    </row>
    <row r="191">
      <c r="G191" s="45"/>
    </row>
    <row r="192">
      <c r="G192" s="45"/>
    </row>
    <row r="193">
      <c r="G193" s="45"/>
    </row>
    <row r="194">
      <c r="G194" s="45"/>
    </row>
    <row r="195">
      <c r="G195" s="45"/>
    </row>
    <row r="196">
      <c r="G196" s="45"/>
    </row>
    <row r="197">
      <c r="G197" s="45"/>
    </row>
    <row r="198">
      <c r="G198" s="45"/>
    </row>
    <row r="199">
      <c r="G199" s="45"/>
    </row>
    <row r="200">
      <c r="G200" s="45"/>
    </row>
    <row r="201">
      <c r="G201" s="45"/>
    </row>
    <row r="202">
      <c r="G202" s="45"/>
    </row>
    <row r="203">
      <c r="G203" s="45"/>
    </row>
    <row r="204">
      <c r="G204" s="45"/>
    </row>
    <row r="205">
      <c r="G205" s="45"/>
    </row>
    <row r="206">
      <c r="G206" s="45"/>
    </row>
    <row r="207">
      <c r="G207" s="45"/>
    </row>
    <row r="208">
      <c r="G208" s="45"/>
    </row>
    <row r="209">
      <c r="G209" s="45"/>
    </row>
    <row r="210">
      <c r="G210" s="45"/>
    </row>
    <row r="211">
      <c r="G211" s="45"/>
    </row>
    <row r="212">
      <c r="G212" s="45"/>
    </row>
    <row r="213">
      <c r="G213" s="45"/>
    </row>
    <row r="214">
      <c r="G214" s="45"/>
    </row>
    <row r="215">
      <c r="G215" s="45"/>
    </row>
    <row r="216">
      <c r="G216" s="45"/>
    </row>
    <row r="217">
      <c r="G217" s="45"/>
    </row>
    <row r="218">
      <c r="G218" s="45"/>
    </row>
    <row r="219">
      <c r="G219" s="45"/>
    </row>
    <row r="220">
      <c r="G220" s="45"/>
    </row>
    <row r="221">
      <c r="G221" s="45"/>
    </row>
    <row r="222">
      <c r="G222" s="45"/>
    </row>
    <row r="223">
      <c r="G223" s="45"/>
    </row>
    <row r="224">
      <c r="G224" s="45"/>
    </row>
    <row r="225">
      <c r="G225" s="45"/>
    </row>
    <row r="226">
      <c r="G226" s="45"/>
    </row>
    <row r="227">
      <c r="G227" s="45"/>
    </row>
    <row r="228">
      <c r="G228" s="45"/>
    </row>
    <row r="229">
      <c r="G229" s="45"/>
    </row>
    <row r="230">
      <c r="G230" s="45"/>
    </row>
    <row r="231">
      <c r="G231" s="45"/>
    </row>
    <row r="232">
      <c r="G232" s="45"/>
    </row>
    <row r="233">
      <c r="G233" s="45"/>
    </row>
    <row r="234">
      <c r="G234" s="45"/>
    </row>
    <row r="235">
      <c r="G235" s="45"/>
    </row>
    <row r="236">
      <c r="G236" s="45"/>
    </row>
    <row r="237">
      <c r="G237" s="45"/>
    </row>
    <row r="238">
      <c r="G238" s="45"/>
    </row>
    <row r="239">
      <c r="G239" s="45"/>
    </row>
    <row r="240">
      <c r="G240" s="45"/>
    </row>
    <row r="241">
      <c r="G241" s="45"/>
    </row>
    <row r="242">
      <c r="G242" s="45"/>
    </row>
    <row r="243">
      <c r="G243" s="45"/>
    </row>
    <row r="244">
      <c r="G244" s="45"/>
    </row>
    <row r="245">
      <c r="G245" s="45"/>
    </row>
    <row r="246">
      <c r="G246" s="45"/>
    </row>
    <row r="247">
      <c r="G247" s="45"/>
    </row>
    <row r="248">
      <c r="G248" s="45"/>
    </row>
    <row r="249">
      <c r="G249" s="45"/>
    </row>
    <row r="250">
      <c r="G250" s="45"/>
    </row>
    <row r="251">
      <c r="G251" s="45"/>
    </row>
    <row r="252">
      <c r="G252" s="45"/>
    </row>
    <row r="253">
      <c r="G253" s="45"/>
    </row>
    <row r="254">
      <c r="G254" s="45"/>
    </row>
    <row r="255">
      <c r="G255" s="45"/>
    </row>
    <row r="256">
      <c r="G256" s="45"/>
    </row>
    <row r="257">
      <c r="G257" s="45"/>
    </row>
    <row r="258">
      <c r="G258" s="45"/>
    </row>
    <row r="259">
      <c r="G259" s="45"/>
    </row>
    <row r="260">
      <c r="G260" s="45"/>
    </row>
    <row r="261">
      <c r="G261" s="45"/>
    </row>
    <row r="262">
      <c r="G262" s="45"/>
    </row>
    <row r="263">
      <c r="G263" s="45"/>
    </row>
    <row r="264">
      <c r="G264" s="45"/>
    </row>
    <row r="265">
      <c r="G265" s="45"/>
    </row>
    <row r="266">
      <c r="G266" s="45"/>
    </row>
    <row r="267">
      <c r="G267" s="45"/>
    </row>
    <row r="268">
      <c r="G268" s="45"/>
    </row>
    <row r="269">
      <c r="G269" s="45"/>
    </row>
    <row r="270">
      <c r="G270" s="45"/>
    </row>
    <row r="271">
      <c r="G271" s="45"/>
    </row>
    <row r="272">
      <c r="G272" s="45"/>
    </row>
    <row r="273">
      <c r="G273" s="45"/>
    </row>
    <row r="274">
      <c r="G274" s="45"/>
    </row>
    <row r="275">
      <c r="G275" s="45"/>
    </row>
    <row r="276">
      <c r="G276" s="45"/>
    </row>
    <row r="277">
      <c r="G277" s="45"/>
    </row>
    <row r="278">
      <c r="G278" s="45"/>
    </row>
    <row r="279">
      <c r="G279" s="45"/>
    </row>
    <row r="280">
      <c r="G280" s="45"/>
    </row>
    <row r="281">
      <c r="G281" s="45"/>
    </row>
    <row r="282">
      <c r="G282" s="45"/>
    </row>
    <row r="283">
      <c r="G283" s="45"/>
    </row>
    <row r="284">
      <c r="G284" s="45"/>
    </row>
    <row r="285">
      <c r="G285" s="45"/>
    </row>
    <row r="286">
      <c r="G286" s="45"/>
    </row>
    <row r="287">
      <c r="G287" s="45"/>
    </row>
    <row r="288">
      <c r="G288" s="45"/>
    </row>
    <row r="289">
      <c r="G289" s="45"/>
    </row>
    <row r="290">
      <c r="G290" s="45"/>
    </row>
    <row r="291">
      <c r="G291" s="45"/>
    </row>
    <row r="292">
      <c r="G292" s="45"/>
    </row>
    <row r="293">
      <c r="G293" s="45"/>
    </row>
    <row r="294">
      <c r="G294" s="45"/>
    </row>
    <row r="295">
      <c r="G295" s="45"/>
    </row>
    <row r="296">
      <c r="G296" s="45"/>
    </row>
    <row r="297">
      <c r="G297" s="45"/>
    </row>
    <row r="298">
      <c r="G298" s="45"/>
    </row>
    <row r="299">
      <c r="G299" s="45"/>
    </row>
    <row r="300">
      <c r="G300" s="45"/>
    </row>
    <row r="301">
      <c r="G301" s="45"/>
    </row>
    <row r="302">
      <c r="G302" s="45"/>
    </row>
    <row r="303">
      <c r="G303" s="45"/>
    </row>
    <row r="304">
      <c r="G304" s="45"/>
    </row>
    <row r="305">
      <c r="G305" s="45"/>
    </row>
    <row r="306">
      <c r="G306" s="45"/>
    </row>
    <row r="307">
      <c r="G307" s="45"/>
    </row>
    <row r="308">
      <c r="G308" s="45"/>
    </row>
    <row r="309">
      <c r="G309" s="45"/>
    </row>
    <row r="310">
      <c r="G310" s="45"/>
    </row>
    <row r="311">
      <c r="G311" s="45"/>
    </row>
    <row r="312">
      <c r="G312" s="45"/>
    </row>
    <row r="313">
      <c r="G313" s="45"/>
    </row>
    <row r="314">
      <c r="G314" s="45"/>
    </row>
    <row r="315">
      <c r="G315" s="45"/>
    </row>
    <row r="316">
      <c r="G316" s="45"/>
    </row>
    <row r="317">
      <c r="G317" s="45"/>
    </row>
    <row r="318">
      <c r="G318" s="45"/>
    </row>
    <row r="319">
      <c r="G319" s="45"/>
    </row>
    <row r="320">
      <c r="G320" s="45"/>
    </row>
    <row r="321">
      <c r="G321" s="45"/>
    </row>
    <row r="322">
      <c r="G322" s="45"/>
    </row>
    <row r="323">
      <c r="G323" s="45"/>
    </row>
    <row r="324">
      <c r="G324" s="45"/>
    </row>
    <row r="325">
      <c r="G325" s="45"/>
    </row>
    <row r="326">
      <c r="G326" s="45"/>
    </row>
    <row r="327">
      <c r="G327" s="45"/>
    </row>
    <row r="328">
      <c r="G328" s="45"/>
    </row>
    <row r="329">
      <c r="G329" s="45"/>
    </row>
    <row r="330">
      <c r="G330" s="45"/>
    </row>
    <row r="331">
      <c r="G331" s="45"/>
    </row>
    <row r="332">
      <c r="G332" s="45"/>
    </row>
    <row r="333">
      <c r="G333" s="45"/>
    </row>
    <row r="334">
      <c r="G334" s="45"/>
    </row>
    <row r="335">
      <c r="G335" s="45"/>
    </row>
    <row r="336">
      <c r="G336" s="45"/>
    </row>
    <row r="337">
      <c r="G337" s="45"/>
    </row>
    <row r="338">
      <c r="G338" s="45"/>
    </row>
    <row r="339">
      <c r="G339" s="45"/>
    </row>
    <row r="340">
      <c r="G340" s="45"/>
    </row>
    <row r="341">
      <c r="G341" s="45"/>
    </row>
    <row r="342">
      <c r="G342" s="45"/>
    </row>
    <row r="343">
      <c r="G343" s="45"/>
    </row>
    <row r="344">
      <c r="G344" s="45"/>
    </row>
    <row r="345">
      <c r="G345" s="45"/>
    </row>
    <row r="346">
      <c r="G346" s="45"/>
    </row>
    <row r="347">
      <c r="G347" s="45"/>
    </row>
    <row r="348">
      <c r="G348" s="45"/>
    </row>
    <row r="349">
      <c r="G349" s="45"/>
    </row>
    <row r="350">
      <c r="G350" s="45"/>
    </row>
    <row r="351">
      <c r="G351" s="45"/>
    </row>
    <row r="352">
      <c r="G352" s="45"/>
    </row>
    <row r="353">
      <c r="G353" s="45"/>
    </row>
    <row r="354">
      <c r="G354" s="45"/>
    </row>
    <row r="355">
      <c r="G355" s="45"/>
    </row>
    <row r="356">
      <c r="G356" s="45"/>
    </row>
    <row r="357">
      <c r="G357" s="45"/>
    </row>
    <row r="358">
      <c r="G358" s="45"/>
    </row>
    <row r="359">
      <c r="G359" s="45"/>
    </row>
    <row r="360">
      <c r="G360" s="45"/>
    </row>
    <row r="361">
      <c r="G361" s="45"/>
    </row>
    <row r="362">
      <c r="G362" s="45"/>
    </row>
    <row r="363">
      <c r="G363" s="45"/>
    </row>
    <row r="364">
      <c r="G364" s="45"/>
    </row>
    <row r="365">
      <c r="G365" s="45"/>
    </row>
    <row r="366">
      <c r="G366" s="45"/>
    </row>
    <row r="367">
      <c r="G367" s="45"/>
    </row>
    <row r="368">
      <c r="G368" s="45"/>
    </row>
    <row r="369">
      <c r="G369" s="45"/>
    </row>
    <row r="370">
      <c r="G370" s="45"/>
    </row>
    <row r="371">
      <c r="G371" s="45"/>
    </row>
    <row r="372">
      <c r="G372" s="45"/>
    </row>
    <row r="373">
      <c r="G373" s="45"/>
    </row>
    <row r="374">
      <c r="G374" s="45"/>
    </row>
    <row r="375">
      <c r="G375" s="45"/>
    </row>
    <row r="376">
      <c r="G376" s="45"/>
    </row>
    <row r="377">
      <c r="G377" s="45"/>
    </row>
    <row r="378">
      <c r="G378" s="45"/>
    </row>
    <row r="379">
      <c r="G379" s="45"/>
    </row>
    <row r="380">
      <c r="G380" s="45"/>
    </row>
    <row r="381">
      <c r="G381" s="45"/>
    </row>
    <row r="382">
      <c r="G382" s="45"/>
    </row>
    <row r="383">
      <c r="G383" s="45"/>
    </row>
    <row r="384">
      <c r="G384" s="45"/>
    </row>
    <row r="385">
      <c r="G385" s="45"/>
    </row>
    <row r="386">
      <c r="G386" s="45"/>
    </row>
    <row r="387">
      <c r="G387" s="45"/>
    </row>
    <row r="388">
      <c r="G388" s="45"/>
    </row>
    <row r="389">
      <c r="G389" s="45"/>
    </row>
    <row r="390">
      <c r="G390" s="45"/>
    </row>
    <row r="391">
      <c r="G391" s="45"/>
    </row>
    <row r="392">
      <c r="G392" s="45"/>
    </row>
    <row r="393">
      <c r="G393" s="45"/>
    </row>
    <row r="394">
      <c r="G394" s="45"/>
    </row>
    <row r="395">
      <c r="G395" s="45"/>
    </row>
    <row r="396">
      <c r="G396" s="45"/>
    </row>
    <row r="397">
      <c r="G397" s="45"/>
    </row>
    <row r="398">
      <c r="G398" s="45"/>
    </row>
    <row r="399">
      <c r="G399" s="45"/>
    </row>
    <row r="400">
      <c r="G400" s="45"/>
    </row>
    <row r="401">
      <c r="G401" s="45"/>
    </row>
    <row r="402">
      <c r="G402" s="45"/>
    </row>
    <row r="403">
      <c r="G403" s="45"/>
    </row>
    <row r="404">
      <c r="G404" s="45"/>
    </row>
    <row r="405">
      <c r="G405" s="45"/>
    </row>
    <row r="406">
      <c r="G406" s="45"/>
    </row>
    <row r="407">
      <c r="G407" s="45"/>
    </row>
    <row r="408">
      <c r="G408" s="45"/>
    </row>
    <row r="409">
      <c r="G409" s="45"/>
    </row>
    <row r="410">
      <c r="G410" s="45"/>
    </row>
    <row r="411">
      <c r="G411" s="45"/>
    </row>
    <row r="412">
      <c r="G412" s="45"/>
    </row>
    <row r="413">
      <c r="G413" s="45"/>
    </row>
    <row r="414">
      <c r="G414" s="45"/>
    </row>
    <row r="415">
      <c r="G415" s="45"/>
    </row>
    <row r="416">
      <c r="G416" s="45"/>
    </row>
    <row r="417">
      <c r="G417" s="45"/>
    </row>
    <row r="418">
      <c r="G418" s="45"/>
    </row>
    <row r="419">
      <c r="G419" s="45"/>
    </row>
    <row r="420">
      <c r="G420" s="45"/>
    </row>
    <row r="421">
      <c r="G421" s="45"/>
    </row>
    <row r="422">
      <c r="G422" s="45"/>
    </row>
    <row r="423">
      <c r="G423" s="45"/>
    </row>
    <row r="424">
      <c r="G424" s="45"/>
    </row>
    <row r="425">
      <c r="G425" s="45"/>
    </row>
    <row r="426">
      <c r="G426" s="45"/>
    </row>
    <row r="427">
      <c r="G427" s="45"/>
    </row>
    <row r="428">
      <c r="G428" s="45"/>
    </row>
    <row r="429">
      <c r="G429" s="45"/>
    </row>
    <row r="430">
      <c r="G430" s="45"/>
    </row>
    <row r="431">
      <c r="G431" s="45"/>
    </row>
    <row r="432">
      <c r="G432" s="45"/>
    </row>
    <row r="433">
      <c r="G433" s="45"/>
    </row>
    <row r="434">
      <c r="G434" s="45"/>
    </row>
    <row r="435">
      <c r="G435" s="45"/>
    </row>
    <row r="436">
      <c r="G436" s="45"/>
    </row>
    <row r="437">
      <c r="G437" s="45"/>
    </row>
    <row r="438">
      <c r="G438" s="45"/>
    </row>
    <row r="439">
      <c r="G439" s="45"/>
    </row>
    <row r="440">
      <c r="G440" s="45"/>
    </row>
    <row r="441">
      <c r="G441" s="45"/>
    </row>
    <row r="442">
      <c r="G442" s="45"/>
    </row>
    <row r="443">
      <c r="G443" s="45"/>
    </row>
    <row r="444">
      <c r="G444" s="45"/>
    </row>
    <row r="445">
      <c r="G445" s="45"/>
    </row>
    <row r="446">
      <c r="G446" s="45"/>
    </row>
    <row r="447">
      <c r="G447" s="45"/>
    </row>
    <row r="448">
      <c r="G448" s="45"/>
    </row>
    <row r="449">
      <c r="G449" s="45"/>
    </row>
    <row r="450">
      <c r="G450" s="45"/>
    </row>
    <row r="451">
      <c r="G451" s="45"/>
    </row>
    <row r="452">
      <c r="G452" s="45"/>
    </row>
    <row r="453">
      <c r="G453" s="45"/>
    </row>
    <row r="454">
      <c r="G454" s="45"/>
    </row>
    <row r="455">
      <c r="G455" s="45"/>
    </row>
    <row r="456">
      <c r="G456" s="45"/>
    </row>
    <row r="457">
      <c r="G457" s="45"/>
    </row>
    <row r="458">
      <c r="G458" s="45"/>
    </row>
    <row r="459">
      <c r="G459" s="45"/>
    </row>
    <row r="460">
      <c r="G460" s="45"/>
    </row>
    <row r="461">
      <c r="G461" s="45"/>
    </row>
    <row r="462">
      <c r="G462" s="45"/>
    </row>
    <row r="463">
      <c r="G463" s="45"/>
    </row>
    <row r="464">
      <c r="G464" s="45"/>
    </row>
    <row r="465">
      <c r="G465" s="45"/>
    </row>
    <row r="466">
      <c r="G466" s="45"/>
    </row>
    <row r="467">
      <c r="G467" s="45"/>
    </row>
    <row r="468">
      <c r="G468" s="45"/>
    </row>
    <row r="469">
      <c r="G469" s="45"/>
    </row>
    <row r="470">
      <c r="G470" s="45"/>
    </row>
    <row r="471">
      <c r="G471" s="45"/>
    </row>
    <row r="472">
      <c r="G472" s="45"/>
    </row>
    <row r="473">
      <c r="G473" s="45"/>
    </row>
    <row r="474">
      <c r="G474" s="45"/>
    </row>
    <row r="475">
      <c r="G475" s="45"/>
    </row>
    <row r="476">
      <c r="G476" s="45"/>
    </row>
    <row r="477">
      <c r="G477" s="45"/>
    </row>
    <row r="478">
      <c r="G478" s="45"/>
    </row>
    <row r="479">
      <c r="G479" s="45"/>
    </row>
    <row r="480">
      <c r="G480" s="45"/>
    </row>
    <row r="481">
      <c r="G481" s="45"/>
    </row>
    <row r="482">
      <c r="G482" s="45"/>
    </row>
    <row r="483">
      <c r="G483" s="45"/>
    </row>
    <row r="484">
      <c r="G484" s="45"/>
    </row>
    <row r="485">
      <c r="G485" s="45"/>
    </row>
    <row r="486">
      <c r="G486" s="45"/>
    </row>
    <row r="487">
      <c r="G487" s="45"/>
    </row>
    <row r="488">
      <c r="G488" s="45"/>
    </row>
    <row r="489">
      <c r="G489" s="45"/>
    </row>
    <row r="490">
      <c r="G490" s="45"/>
    </row>
    <row r="491">
      <c r="G491" s="45"/>
    </row>
    <row r="492">
      <c r="G492" s="45"/>
    </row>
    <row r="493">
      <c r="G493" s="45"/>
    </row>
    <row r="494">
      <c r="G494" s="45"/>
    </row>
    <row r="495">
      <c r="G495" s="45"/>
    </row>
    <row r="496">
      <c r="G496" s="45"/>
    </row>
    <row r="497">
      <c r="G497" s="45"/>
    </row>
    <row r="498">
      <c r="G498" s="45"/>
    </row>
    <row r="499">
      <c r="G499" s="45"/>
    </row>
    <row r="500">
      <c r="G500" s="45"/>
    </row>
    <row r="501">
      <c r="G501" s="45"/>
    </row>
    <row r="502">
      <c r="G502" s="45"/>
    </row>
    <row r="503">
      <c r="G503" s="45"/>
    </row>
    <row r="504">
      <c r="G504" s="45"/>
    </row>
    <row r="505">
      <c r="G505" s="45"/>
    </row>
    <row r="506">
      <c r="G506" s="45"/>
    </row>
    <row r="507">
      <c r="G507" s="45"/>
    </row>
    <row r="508">
      <c r="G508" s="45"/>
    </row>
    <row r="509">
      <c r="G509" s="45"/>
    </row>
    <row r="510">
      <c r="G510" s="45"/>
    </row>
    <row r="511">
      <c r="G511" s="45"/>
    </row>
    <row r="512">
      <c r="G512" s="45"/>
    </row>
    <row r="513">
      <c r="G513" s="45"/>
    </row>
    <row r="514">
      <c r="G514" s="45"/>
    </row>
    <row r="515">
      <c r="G515" s="45"/>
    </row>
    <row r="516">
      <c r="G516" s="45"/>
    </row>
    <row r="517">
      <c r="G517" s="45"/>
    </row>
    <row r="518">
      <c r="G518" s="45"/>
    </row>
    <row r="519">
      <c r="G519" s="45"/>
    </row>
    <row r="520">
      <c r="G520" s="45"/>
    </row>
    <row r="521">
      <c r="G521" s="45"/>
    </row>
    <row r="522">
      <c r="G522" s="45"/>
    </row>
    <row r="523">
      <c r="G523" s="45"/>
    </row>
    <row r="524">
      <c r="G524" s="45"/>
    </row>
    <row r="525">
      <c r="G525" s="45"/>
    </row>
    <row r="526">
      <c r="G526" s="45"/>
    </row>
    <row r="527">
      <c r="G527" s="45"/>
    </row>
    <row r="528">
      <c r="G528" s="45"/>
    </row>
    <row r="529">
      <c r="G529" s="45"/>
    </row>
    <row r="530">
      <c r="G530" s="45"/>
    </row>
    <row r="531">
      <c r="G531" s="45"/>
    </row>
    <row r="532">
      <c r="G532" s="45"/>
    </row>
    <row r="533">
      <c r="G533" s="45"/>
    </row>
    <row r="534">
      <c r="G534" s="45"/>
    </row>
    <row r="535">
      <c r="G535" s="45"/>
    </row>
    <row r="536">
      <c r="G536" s="45"/>
    </row>
    <row r="537">
      <c r="G537" s="45"/>
    </row>
    <row r="538">
      <c r="G538" s="45"/>
    </row>
    <row r="539">
      <c r="G539" s="45"/>
    </row>
    <row r="540">
      <c r="G540" s="45"/>
    </row>
    <row r="541">
      <c r="G541" s="45"/>
    </row>
    <row r="542">
      <c r="G542" s="45"/>
    </row>
    <row r="543">
      <c r="G543" s="45"/>
    </row>
    <row r="544">
      <c r="G544" s="45"/>
    </row>
    <row r="545">
      <c r="G545" s="45"/>
    </row>
    <row r="546">
      <c r="G546" s="45"/>
    </row>
    <row r="547">
      <c r="G547" s="45"/>
    </row>
    <row r="548">
      <c r="G548" s="45"/>
    </row>
    <row r="549">
      <c r="G549" s="45"/>
    </row>
    <row r="550">
      <c r="G550" s="45"/>
    </row>
    <row r="551">
      <c r="G551" s="45"/>
    </row>
    <row r="552">
      <c r="G552" s="45"/>
    </row>
    <row r="553">
      <c r="G553" s="45"/>
    </row>
    <row r="554">
      <c r="G554" s="45"/>
    </row>
    <row r="555">
      <c r="G555" s="45"/>
    </row>
    <row r="556">
      <c r="G556" s="45"/>
    </row>
    <row r="557">
      <c r="G557" s="45"/>
    </row>
    <row r="558">
      <c r="G558" s="45"/>
    </row>
    <row r="559">
      <c r="G559" s="45"/>
    </row>
    <row r="560">
      <c r="G560" s="45"/>
    </row>
    <row r="561">
      <c r="G561" s="45"/>
    </row>
    <row r="562">
      <c r="G562" s="45"/>
    </row>
    <row r="563">
      <c r="G563" s="45"/>
    </row>
    <row r="564">
      <c r="G564" s="45"/>
    </row>
    <row r="565">
      <c r="G565" s="45"/>
    </row>
    <row r="566">
      <c r="G566" s="45"/>
    </row>
    <row r="567">
      <c r="G567" s="45"/>
    </row>
    <row r="568">
      <c r="G568" s="45"/>
    </row>
    <row r="569">
      <c r="G569" s="45"/>
    </row>
    <row r="570">
      <c r="G570" s="45"/>
    </row>
    <row r="571">
      <c r="G571" s="45"/>
    </row>
    <row r="572">
      <c r="G572" s="45"/>
    </row>
    <row r="573">
      <c r="G573" s="45"/>
    </row>
    <row r="574">
      <c r="G574" s="45"/>
    </row>
    <row r="575">
      <c r="G575" s="45"/>
    </row>
    <row r="576">
      <c r="G576" s="45"/>
    </row>
    <row r="577">
      <c r="G577" s="45"/>
    </row>
    <row r="578">
      <c r="G578" s="45"/>
    </row>
    <row r="579">
      <c r="G579" s="45"/>
    </row>
    <row r="580">
      <c r="G580" s="45"/>
    </row>
    <row r="581">
      <c r="G581" s="45"/>
    </row>
    <row r="582">
      <c r="G582" s="45"/>
    </row>
    <row r="583">
      <c r="G583" s="45"/>
    </row>
    <row r="584">
      <c r="G584" s="45"/>
    </row>
    <row r="585">
      <c r="G585" s="45"/>
    </row>
    <row r="586">
      <c r="G586" s="45"/>
    </row>
    <row r="587">
      <c r="G587" s="45"/>
    </row>
    <row r="588">
      <c r="G588" s="45"/>
    </row>
    <row r="589">
      <c r="G589" s="45"/>
    </row>
    <row r="590">
      <c r="G590" s="45"/>
    </row>
    <row r="591">
      <c r="G591" s="45"/>
    </row>
    <row r="592">
      <c r="G592" s="45"/>
    </row>
    <row r="593">
      <c r="G593" s="45"/>
    </row>
    <row r="594">
      <c r="G594" s="45"/>
    </row>
    <row r="595">
      <c r="G595" s="45"/>
    </row>
    <row r="596">
      <c r="G596" s="45"/>
    </row>
    <row r="597">
      <c r="G597" s="45"/>
    </row>
    <row r="598">
      <c r="G598" s="45"/>
    </row>
    <row r="599">
      <c r="G599" s="45"/>
    </row>
    <row r="600">
      <c r="G600" s="45"/>
    </row>
    <row r="601">
      <c r="G601" s="45"/>
    </row>
    <row r="602">
      <c r="G602" s="45"/>
    </row>
    <row r="603">
      <c r="G603" s="45"/>
    </row>
    <row r="604">
      <c r="G604" s="45"/>
    </row>
    <row r="605">
      <c r="G605" s="45"/>
    </row>
    <row r="606">
      <c r="G606" s="45"/>
    </row>
    <row r="607">
      <c r="G607" s="45"/>
    </row>
    <row r="608">
      <c r="G608" s="45"/>
    </row>
    <row r="609">
      <c r="G609" s="45"/>
    </row>
    <row r="610">
      <c r="G610" s="45"/>
    </row>
    <row r="611">
      <c r="G611" s="45"/>
    </row>
    <row r="612">
      <c r="G612" s="45"/>
    </row>
    <row r="613">
      <c r="G613" s="45"/>
    </row>
    <row r="614">
      <c r="G614" s="45"/>
    </row>
    <row r="615">
      <c r="G615" s="45"/>
    </row>
    <row r="616">
      <c r="G616" s="45"/>
    </row>
    <row r="617">
      <c r="G617" s="45"/>
    </row>
    <row r="618">
      <c r="G618" s="45"/>
    </row>
    <row r="619">
      <c r="G619" s="45"/>
    </row>
    <row r="620">
      <c r="G620" s="45"/>
    </row>
    <row r="621">
      <c r="G621" s="45"/>
    </row>
    <row r="622">
      <c r="G622" s="45"/>
    </row>
    <row r="623">
      <c r="G623" s="45"/>
    </row>
    <row r="624">
      <c r="G624" s="45"/>
    </row>
    <row r="625">
      <c r="G625" s="45"/>
    </row>
    <row r="626">
      <c r="G626" s="45"/>
    </row>
    <row r="627">
      <c r="G627" s="45"/>
    </row>
    <row r="628">
      <c r="G628" s="45"/>
    </row>
    <row r="629">
      <c r="G629" s="45"/>
    </row>
    <row r="630">
      <c r="G630" s="45"/>
    </row>
    <row r="631">
      <c r="G631" s="45"/>
    </row>
    <row r="632">
      <c r="G632" s="45"/>
    </row>
    <row r="633">
      <c r="G633" s="45"/>
    </row>
    <row r="634">
      <c r="G634" s="45"/>
    </row>
    <row r="635">
      <c r="G635" s="45"/>
    </row>
    <row r="636">
      <c r="G636" s="45"/>
    </row>
    <row r="637">
      <c r="G637" s="45"/>
    </row>
    <row r="638">
      <c r="G638" s="45"/>
    </row>
    <row r="639">
      <c r="G639" s="45"/>
    </row>
    <row r="640">
      <c r="G640" s="45"/>
    </row>
    <row r="641">
      <c r="G641" s="45"/>
    </row>
    <row r="642">
      <c r="G642" s="45"/>
    </row>
    <row r="643">
      <c r="G643" s="45"/>
    </row>
    <row r="644">
      <c r="G644" s="45"/>
    </row>
    <row r="645">
      <c r="G645" s="45"/>
    </row>
    <row r="646">
      <c r="G646" s="45"/>
    </row>
    <row r="647">
      <c r="G647" s="45"/>
    </row>
    <row r="648">
      <c r="G648" s="45"/>
    </row>
    <row r="649">
      <c r="G649" s="45"/>
    </row>
    <row r="650">
      <c r="G650" s="45"/>
    </row>
    <row r="651">
      <c r="G651" s="45"/>
    </row>
    <row r="652">
      <c r="G652" s="45"/>
    </row>
    <row r="653">
      <c r="G653" s="45"/>
    </row>
    <row r="654">
      <c r="G654" s="45"/>
    </row>
    <row r="655">
      <c r="G655" s="45"/>
    </row>
    <row r="656">
      <c r="G656" s="45"/>
    </row>
    <row r="657">
      <c r="G657" s="45"/>
    </row>
    <row r="658">
      <c r="G658" s="45"/>
    </row>
    <row r="659">
      <c r="G659" s="45"/>
    </row>
    <row r="660">
      <c r="G660" s="45"/>
    </row>
    <row r="661">
      <c r="G661" s="45"/>
    </row>
    <row r="662">
      <c r="G662" s="45"/>
    </row>
    <row r="663">
      <c r="G663" s="45"/>
    </row>
    <row r="664">
      <c r="G664" s="45"/>
    </row>
    <row r="665">
      <c r="G665" s="45"/>
    </row>
    <row r="666">
      <c r="G666" s="45"/>
    </row>
    <row r="667">
      <c r="G667" s="45"/>
    </row>
    <row r="668">
      <c r="G668" s="45"/>
    </row>
    <row r="669">
      <c r="G669" s="45"/>
    </row>
    <row r="670">
      <c r="G670" s="45"/>
    </row>
    <row r="671">
      <c r="G671" s="45"/>
    </row>
    <row r="672">
      <c r="G672" s="45"/>
    </row>
    <row r="673">
      <c r="G673" s="45"/>
    </row>
    <row r="674">
      <c r="G674" s="45"/>
    </row>
    <row r="675">
      <c r="G675" s="45"/>
    </row>
    <row r="676">
      <c r="G676" s="45"/>
    </row>
    <row r="677">
      <c r="G677" s="45"/>
    </row>
    <row r="678">
      <c r="G678" s="45"/>
    </row>
    <row r="679">
      <c r="G679" s="45"/>
    </row>
    <row r="680">
      <c r="G680" s="45"/>
    </row>
    <row r="681">
      <c r="G681" s="45"/>
    </row>
    <row r="682">
      <c r="G682" s="45"/>
    </row>
    <row r="683">
      <c r="G683" s="45"/>
    </row>
    <row r="684">
      <c r="G684" s="45"/>
    </row>
    <row r="685">
      <c r="G685" s="45"/>
    </row>
    <row r="686">
      <c r="G686" s="45"/>
    </row>
    <row r="687">
      <c r="G687" s="45"/>
    </row>
    <row r="688">
      <c r="G688" s="45"/>
    </row>
    <row r="689">
      <c r="G689" s="45"/>
    </row>
    <row r="690">
      <c r="G690" s="45"/>
    </row>
    <row r="691">
      <c r="G691" s="45"/>
    </row>
    <row r="692">
      <c r="G692" s="45"/>
    </row>
    <row r="693">
      <c r="G693" s="45"/>
    </row>
    <row r="694">
      <c r="G694" s="45"/>
    </row>
    <row r="695">
      <c r="G695" s="45"/>
    </row>
    <row r="696">
      <c r="G696" s="45"/>
    </row>
    <row r="697">
      <c r="G697" s="45"/>
    </row>
    <row r="698">
      <c r="G698" s="45"/>
    </row>
    <row r="699">
      <c r="G699" s="45"/>
    </row>
    <row r="700">
      <c r="G700" s="45"/>
    </row>
    <row r="701">
      <c r="G701" s="45"/>
    </row>
    <row r="702">
      <c r="G702" s="45"/>
    </row>
    <row r="703">
      <c r="G703" s="45"/>
    </row>
    <row r="704">
      <c r="G704" s="45"/>
    </row>
    <row r="705">
      <c r="G705" s="45"/>
    </row>
    <row r="706">
      <c r="G706" s="45"/>
    </row>
    <row r="707">
      <c r="G707" s="45"/>
    </row>
    <row r="708">
      <c r="G708" s="45"/>
    </row>
    <row r="709">
      <c r="G709" s="45"/>
    </row>
    <row r="710">
      <c r="G710" s="45"/>
    </row>
    <row r="711">
      <c r="G711" s="45"/>
    </row>
    <row r="712">
      <c r="G712" s="45"/>
    </row>
    <row r="713">
      <c r="G713" s="45"/>
    </row>
    <row r="714">
      <c r="G714" s="45"/>
    </row>
    <row r="715">
      <c r="G715" s="45"/>
    </row>
    <row r="716">
      <c r="G716" s="45"/>
    </row>
    <row r="717">
      <c r="G717" s="45"/>
    </row>
    <row r="718">
      <c r="G718" s="45"/>
    </row>
    <row r="719">
      <c r="G719" s="45"/>
    </row>
    <row r="720">
      <c r="G720" s="45"/>
    </row>
    <row r="721">
      <c r="G721" s="45"/>
    </row>
    <row r="722">
      <c r="G722" s="45"/>
    </row>
    <row r="723">
      <c r="G723" s="45"/>
    </row>
    <row r="724">
      <c r="G724" s="45"/>
    </row>
    <row r="725">
      <c r="G725" s="45"/>
    </row>
    <row r="726">
      <c r="G726" s="45"/>
    </row>
    <row r="727">
      <c r="G727" s="45"/>
    </row>
    <row r="728">
      <c r="G728" s="45"/>
    </row>
    <row r="729">
      <c r="G729" s="45"/>
    </row>
    <row r="730">
      <c r="G730" s="45"/>
    </row>
    <row r="731">
      <c r="G731" s="45"/>
    </row>
    <row r="732">
      <c r="G732" s="45"/>
    </row>
    <row r="733">
      <c r="G733" s="45"/>
    </row>
    <row r="734">
      <c r="G734" s="45"/>
    </row>
    <row r="735">
      <c r="G735" s="45"/>
    </row>
    <row r="736">
      <c r="G736" s="45"/>
    </row>
    <row r="737">
      <c r="G737" s="45"/>
    </row>
    <row r="738">
      <c r="G738" s="45"/>
    </row>
    <row r="739">
      <c r="G739" s="45"/>
    </row>
    <row r="740">
      <c r="G740" s="45"/>
    </row>
    <row r="741">
      <c r="G741" s="45"/>
    </row>
    <row r="742">
      <c r="G742" s="45"/>
    </row>
    <row r="743">
      <c r="G743" s="45"/>
    </row>
    <row r="744">
      <c r="G744" s="45"/>
    </row>
    <row r="745">
      <c r="G745" s="45"/>
    </row>
    <row r="746">
      <c r="G746" s="45"/>
    </row>
    <row r="747">
      <c r="G747" s="45"/>
    </row>
    <row r="748">
      <c r="G748" s="45"/>
    </row>
    <row r="749">
      <c r="G749" s="45"/>
    </row>
    <row r="750">
      <c r="G750" s="45"/>
    </row>
    <row r="751">
      <c r="G751" s="45"/>
    </row>
    <row r="752">
      <c r="G752" s="45"/>
    </row>
    <row r="753">
      <c r="G753" s="45"/>
    </row>
    <row r="754">
      <c r="G754" s="45"/>
    </row>
    <row r="755">
      <c r="G755" s="45"/>
    </row>
    <row r="756">
      <c r="G756" s="45"/>
    </row>
    <row r="757">
      <c r="G757" s="45"/>
    </row>
    <row r="758">
      <c r="G758" s="45"/>
    </row>
    <row r="759">
      <c r="G759" s="45"/>
    </row>
    <row r="760">
      <c r="G760" s="45"/>
    </row>
    <row r="761">
      <c r="G761" s="45"/>
    </row>
    <row r="762">
      <c r="G762" s="45"/>
    </row>
    <row r="763">
      <c r="G763" s="45"/>
    </row>
    <row r="764">
      <c r="G764" s="45"/>
    </row>
    <row r="765">
      <c r="G765" s="45"/>
    </row>
    <row r="766">
      <c r="G766" s="45"/>
    </row>
    <row r="767">
      <c r="G767" s="45"/>
    </row>
    <row r="768">
      <c r="G768" s="45"/>
    </row>
    <row r="769">
      <c r="G769" s="45"/>
    </row>
    <row r="770">
      <c r="G770" s="45"/>
    </row>
    <row r="771">
      <c r="G771" s="45"/>
    </row>
    <row r="772">
      <c r="G772" s="45"/>
    </row>
    <row r="773">
      <c r="G773" s="45"/>
    </row>
    <row r="774">
      <c r="G774" s="45"/>
    </row>
    <row r="775">
      <c r="G775" s="45"/>
    </row>
    <row r="776">
      <c r="G776" s="45"/>
    </row>
    <row r="777">
      <c r="G777" s="45"/>
    </row>
    <row r="778">
      <c r="G778" s="45"/>
    </row>
    <row r="779">
      <c r="G779" s="45"/>
    </row>
    <row r="780">
      <c r="G780" s="45"/>
    </row>
    <row r="781">
      <c r="G781" s="45"/>
    </row>
    <row r="782">
      <c r="G782" s="45"/>
    </row>
    <row r="783">
      <c r="G783" s="45"/>
    </row>
    <row r="784">
      <c r="G784" s="45"/>
    </row>
    <row r="785">
      <c r="G785" s="45"/>
    </row>
    <row r="786">
      <c r="G786" s="45"/>
    </row>
    <row r="787">
      <c r="G787" s="45"/>
    </row>
    <row r="788">
      <c r="G788" s="45"/>
    </row>
    <row r="789">
      <c r="G789" s="45"/>
    </row>
    <row r="790">
      <c r="G790" s="45"/>
    </row>
    <row r="791">
      <c r="G791" s="45"/>
    </row>
    <row r="792">
      <c r="G792" s="45"/>
    </row>
    <row r="793">
      <c r="G793" s="45"/>
    </row>
    <row r="794">
      <c r="G794" s="45"/>
    </row>
    <row r="795">
      <c r="G795" s="45"/>
    </row>
    <row r="796">
      <c r="G796" s="45"/>
    </row>
    <row r="797">
      <c r="G797" s="45"/>
    </row>
    <row r="798">
      <c r="G798" s="45"/>
    </row>
    <row r="799">
      <c r="G799" s="45"/>
    </row>
    <row r="800">
      <c r="G800" s="45"/>
    </row>
    <row r="801">
      <c r="G801" s="45"/>
    </row>
    <row r="802">
      <c r="G802" s="45"/>
    </row>
    <row r="803">
      <c r="G803" s="45"/>
    </row>
    <row r="804">
      <c r="G804" s="45"/>
    </row>
    <row r="805">
      <c r="G805" s="45"/>
    </row>
    <row r="806">
      <c r="G806" s="45"/>
    </row>
    <row r="807">
      <c r="G807" s="45"/>
    </row>
    <row r="808">
      <c r="G808" s="45"/>
    </row>
    <row r="809">
      <c r="G809" s="45"/>
    </row>
    <row r="810">
      <c r="G810" s="45"/>
    </row>
    <row r="811">
      <c r="G811" s="45"/>
    </row>
    <row r="812">
      <c r="G812" s="45"/>
    </row>
    <row r="813">
      <c r="G813" s="45"/>
    </row>
    <row r="814">
      <c r="G814" s="45"/>
    </row>
    <row r="815">
      <c r="G815" s="45"/>
    </row>
    <row r="816">
      <c r="G816" s="45"/>
    </row>
    <row r="817">
      <c r="G817" s="45"/>
    </row>
    <row r="818">
      <c r="G818" s="45"/>
    </row>
    <row r="819">
      <c r="G819" s="45"/>
    </row>
    <row r="820">
      <c r="G820" s="45"/>
    </row>
    <row r="821">
      <c r="G821" s="45"/>
    </row>
    <row r="822">
      <c r="G822" s="45"/>
    </row>
    <row r="823">
      <c r="G823" s="45"/>
    </row>
    <row r="824">
      <c r="G824" s="45"/>
    </row>
    <row r="825">
      <c r="G825" s="45"/>
    </row>
    <row r="826">
      <c r="G826" s="45"/>
    </row>
    <row r="827">
      <c r="G827" s="45"/>
    </row>
    <row r="828">
      <c r="G828" s="45"/>
    </row>
    <row r="829">
      <c r="G829" s="45"/>
    </row>
    <row r="830">
      <c r="G830" s="45"/>
    </row>
    <row r="831">
      <c r="G831" s="45"/>
    </row>
    <row r="832">
      <c r="G832" s="45"/>
    </row>
    <row r="833">
      <c r="G833" s="45"/>
    </row>
    <row r="834">
      <c r="G834" s="45"/>
    </row>
    <row r="835">
      <c r="G835" s="45"/>
    </row>
    <row r="836">
      <c r="G836" s="45"/>
    </row>
    <row r="837">
      <c r="G837" s="45"/>
    </row>
    <row r="838">
      <c r="G838" s="45"/>
    </row>
    <row r="839">
      <c r="G839" s="45"/>
    </row>
    <row r="840">
      <c r="G840" s="45"/>
    </row>
    <row r="841">
      <c r="G841" s="45"/>
    </row>
    <row r="842">
      <c r="G842" s="45"/>
    </row>
    <row r="843">
      <c r="G843" s="45"/>
    </row>
    <row r="844">
      <c r="G844" s="45"/>
    </row>
    <row r="845">
      <c r="G845" s="45"/>
    </row>
    <row r="846">
      <c r="G846" s="45"/>
    </row>
    <row r="847">
      <c r="G847" s="45"/>
    </row>
    <row r="848">
      <c r="G848" s="45"/>
    </row>
    <row r="849">
      <c r="G849" s="45"/>
    </row>
    <row r="850">
      <c r="G850" s="45"/>
    </row>
    <row r="851">
      <c r="G851" s="45"/>
    </row>
    <row r="852">
      <c r="G852" s="45"/>
    </row>
    <row r="853">
      <c r="G853" s="45"/>
    </row>
    <row r="854">
      <c r="G854" s="45"/>
    </row>
    <row r="855">
      <c r="G855" s="45"/>
    </row>
    <row r="856">
      <c r="G856" s="45"/>
    </row>
    <row r="857">
      <c r="G857" s="45"/>
    </row>
    <row r="858">
      <c r="G858" s="45"/>
    </row>
    <row r="859">
      <c r="G859" s="45"/>
    </row>
    <row r="860">
      <c r="G860" s="45"/>
    </row>
    <row r="861">
      <c r="G861" s="45"/>
    </row>
    <row r="862">
      <c r="G862" s="45"/>
    </row>
    <row r="863">
      <c r="G863" s="45"/>
    </row>
    <row r="864">
      <c r="G864" s="45"/>
    </row>
    <row r="865">
      <c r="G865" s="45"/>
    </row>
    <row r="866">
      <c r="G866" s="45"/>
    </row>
    <row r="867">
      <c r="G867" s="45"/>
    </row>
    <row r="868">
      <c r="G868" s="45"/>
    </row>
    <row r="869">
      <c r="G869" s="45"/>
    </row>
    <row r="870">
      <c r="G870" s="45"/>
    </row>
    <row r="871">
      <c r="G871" s="45"/>
    </row>
    <row r="872">
      <c r="G872" s="45"/>
    </row>
    <row r="873">
      <c r="G873" s="45"/>
    </row>
    <row r="874">
      <c r="G874" s="45"/>
    </row>
    <row r="875">
      <c r="G875" s="45"/>
    </row>
    <row r="876">
      <c r="G876" s="45"/>
    </row>
    <row r="877">
      <c r="G877" s="45"/>
    </row>
    <row r="878">
      <c r="G878" s="45"/>
    </row>
    <row r="879">
      <c r="G879" s="45"/>
    </row>
    <row r="880">
      <c r="G880" s="45"/>
    </row>
    <row r="881">
      <c r="G881" s="45"/>
    </row>
    <row r="882">
      <c r="G882" s="45"/>
    </row>
    <row r="883">
      <c r="G883" s="45"/>
    </row>
    <row r="884">
      <c r="G884" s="45"/>
    </row>
    <row r="885">
      <c r="G885" s="45"/>
    </row>
    <row r="886">
      <c r="G886" s="45"/>
    </row>
    <row r="887">
      <c r="G887" s="45"/>
    </row>
    <row r="888">
      <c r="G888" s="45"/>
    </row>
    <row r="889">
      <c r="G889" s="45"/>
    </row>
    <row r="890">
      <c r="G890" s="45"/>
    </row>
    <row r="891">
      <c r="G891" s="45"/>
    </row>
    <row r="892">
      <c r="G892" s="45"/>
    </row>
    <row r="893">
      <c r="G893" s="45"/>
    </row>
    <row r="894">
      <c r="G894" s="45"/>
    </row>
    <row r="895">
      <c r="G895" s="45"/>
    </row>
    <row r="896">
      <c r="G896" s="45"/>
    </row>
    <row r="897">
      <c r="G897" s="45"/>
    </row>
    <row r="898">
      <c r="G898" s="45"/>
    </row>
    <row r="899">
      <c r="G899" s="45"/>
    </row>
    <row r="900">
      <c r="G900" s="45"/>
    </row>
    <row r="901">
      <c r="G901" s="45"/>
    </row>
    <row r="902">
      <c r="G902" s="45"/>
    </row>
    <row r="903">
      <c r="G903" s="45"/>
    </row>
    <row r="904">
      <c r="G904" s="45"/>
    </row>
    <row r="905">
      <c r="G905" s="45"/>
    </row>
    <row r="906">
      <c r="G906" s="45"/>
    </row>
    <row r="907">
      <c r="G907" s="45"/>
    </row>
    <row r="908">
      <c r="G908" s="45"/>
    </row>
    <row r="909">
      <c r="G909" s="45"/>
    </row>
    <row r="910">
      <c r="G910" s="45"/>
    </row>
    <row r="911">
      <c r="G911" s="45"/>
    </row>
    <row r="912">
      <c r="G912" s="45"/>
    </row>
    <row r="913">
      <c r="G913" s="45"/>
    </row>
    <row r="914">
      <c r="G914" s="45"/>
    </row>
    <row r="915">
      <c r="G915" s="45"/>
    </row>
    <row r="916">
      <c r="G916" s="45"/>
    </row>
    <row r="917">
      <c r="G917" s="45"/>
    </row>
    <row r="918">
      <c r="G918" s="45"/>
    </row>
    <row r="919">
      <c r="G919" s="45"/>
    </row>
    <row r="920">
      <c r="G920" s="45"/>
    </row>
    <row r="921">
      <c r="G921" s="45"/>
    </row>
    <row r="922">
      <c r="G922" s="45"/>
    </row>
    <row r="923">
      <c r="G923" s="45"/>
    </row>
    <row r="924">
      <c r="G924" s="45"/>
    </row>
    <row r="925">
      <c r="G925" s="45"/>
    </row>
    <row r="926">
      <c r="G926" s="45"/>
    </row>
    <row r="927">
      <c r="G927" s="45"/>
    </row>
    <row r="928">
      <c r="G928" s="45"/>
    </row>
    <row r="929">
      <c r="G929" s="45"/>
    </row>
    <row r="930">
      <c r="G930" s="45"/>
    </row>
    <row r="931">
      <c r="G931" s="45"/>
    </row>
    <row r="932">
      <c r="G932" s="45"/>
    </row>
    <row r="933">
      <c r="G933" s="45"/>
    </row>
    <row r="934">
      <c r="G934" s="45"/>
    </row>
    <row r="935">
      <c r="G935" s="45"/>
    </row>
    <row r="936">
      <c r="G936" s="45"/>
    </row>
    <row r="937">
      <c r="G937" s="45"/>
    </row>
    <row r="938">
      <c r="G938" s="45"/>
    </row>
    <row r="939">
      <c r="G939" s="45"/>
    </row>
    <row r="940">
      <c r="G940" s="45"/>
    </row>
    <row r="941">
      <c r="G941" s="45"/>
    </row>
    <row r="942">
      <c r="G942" s="45"/>
    </row>
    <row r="943">
      <c r="G943" s="45"/>
    </row>
    <row r="944">
      <c r="G944" s="45"/>
    </row>
    <row r="945">
      <c r="G945" s="45"/>
    </row>
    <row r="946">
      <c r="G946" s="45"/>
    </row>
    <row r="947">
      <c r="G947" s="45"/>
    </row>
    <row r="948">
      <c r="G948" s="45"/>
    </row>
    <row r="949">
      <c r="G949" s="45"/>
    </row>
    <row r="950">
      <c r="G950" s="45"/>
    </row>
    <row r="951">
      <c r="G951" s="45"/>
    </row>
    <row r="952">
      <c r="G952" s="45"/>
    </row>
    <row r="953">
      <c r="G953" s="45"/>
    </row>
    <row r="954">
      <c r="G954" s="45"/>
    </row>
    <row r="955">
      <c r="G955" s="45"/>
    </row>
    <row r="956">
      <c r="G956" s="45"/>
    </row>
    <row r="957">
      <c r="G957" s="45"/>
    </row>
    <row r="958">
      <c r="G958" s="45"/>
    </row>
    <row r="959">
      <c r="G959" s="45"/>
    </row>
    <row r="960">
      <c r="G960" s="45"/>
    </row>
    <row r="961">
      <c r="G961" s="45"/>
    </row>
    <row r="962">
      <c r="G962" s="45"/>
    </row>
    <row r="963">
      <c r="G963" s="45"/>
    </row>
    <row r="964">
      <c r="G964" s="45"/>
    </row>
    <row r="965">
      <c r="G965" s="45"/>
    </row>
    <row r="966">
      <c r="G966" s="45"/>
    </row>
    <row r="967">
      <c r="G967" s="45"/>
    </row>
    <row r="968">
      <c r="G968" s="45"/>
    </row>
    <row r="969">
      <c r="G969" s="45"/>
    </row>
    <row r="970">
      <c r="G970" s="45"/>
    </row>
    <row r="971">
      <c r="G971" s="45"/>
    </row>
    <row r="972">
      <c r="G972" s="45"/>
    </row>
    <row r="973">
      <c r="G973" s="45"/>
    </row>
    <row r="974">
      <c r="G974" s="45"/>
    </row>
    <row r="975">
      <c r="G975" s="45"/>
    </row>
    <row r="976">
      <c r="G976" s="45"/>
    </row>
    <row r="977">
      <c r="G977" s="45"/>
    </row>
    <row r="978">
      <c r="G978" s="45"/>
    </row>
    <row r="979">
      <c r="G979" s="45"/>
    </row>
    <row r="980">
      <c r="G980" s="45"/>
    </row>
    <row r="981">
      <c r="G981" s="45"/>
    </row>
    <row r="982">
      <c r="G982" s="45"/>
    </row>
    <row r="983">
      <c r="G983" s="45"/>
    </row>
    <row r="984">
      <c r="G984" s="45"/>
    </row>
    <row r="985">
      <c r="G985" s="45"/>
    </row>
    <row r="986">
      <c r="G986" s="45"/>
    </row>
    <row r="987">
      <c r="G987" s="45"/>
    </row>
    <row r="988">
      <c r="G988" s="45"/>
    </row>
    <row r="989">
      <c r="G989" s="45"/>
    </row>
    <row r="990">
      <c r="G990" s="45"/>
    </row>
    <row r="991">
      <c r="G991" s="45"/>
    </row>
  </sheetData>
  <mergeCells count="4">
    <mergeCell ref="E2:H2"/>
    <mergeCell ref="I2:J2"/>
    <mergeCell ref="K2:N2"/>
    <mergeCell ref="O2:R2"/>
  </mergeCells>
  <dataValidations>
    <dataValidation type="list" allowBlank="1" sqref="D4:D20">
      <formula1>"yes,no"</formula1>
    </dataValidation>
    <dataValidation type="custom" allowBlank="1" showDropDown="1" sqref="E4:E20 K4:K20">
      <formula1>AND(ISNUMBER(E4),(NOT(OR(NOT(ISERROR(DATEVALUE(E4))), AND(ISNUMBER(E4), LEFT(CELL("format", E4))="D")))))</formula1>
    </dataValidation>
  </dataValidations>
  <hyperlinks>
    <hyperlink r:id="rId1" ref="N4"/>
    <hyperlink r:id="rId2" ref="O4"/>
    <hyperlink r:id="rId3" ref="P4"/>
    <hyperlink r:id="rId4" ref="Q4"/>
    <hyperlink r:id="rId5" ref="H5"/>
    <hyperlink r:id="rId6" ref="J5"/>
    <hyperlink r:id="rId7" ref="O5"/>
    <hyperlink r:id="rId8" ref="P5"/>
    <hyperlink r:id="rId9" ref="H6"/>
    <hyperlink r:id="rId10" ref="J6"/>
    <hyperlink r:id="rId11" ref="O6"/>
    <hyperlink r:id="rId12" ref="P6"/>
    <hyperlink r:id="rId13" ref="Q6"/>
    <hyperlink r:id="rId14" ref="H7"/>
    <hyperlink r:id="rId15" ref="J7"/>
    <hyperlink r:id="rId16" ref="O7"/>
    <hyperlink r:id="rId17" ref="P7"/>
    <hyperlink r:id="rId18" ref="Q7"/>
    <hyperlink r:id="rId19" ref="O8"/>
    <hyperlink r:id="rId20" ref="P8"/>
    <hyperlink r:id="rId21" ref="Q8"/>
    <hyperlink r:id="rId22" ref="O9"/>
    <hyperlink r:id="rId23" ref="P9"/>
    <hyperlink r:id="rId24" ref="Q9"/>
    <hyperlink r:id="rId25" ref="H10"/>
    <hyperlink r:id="rId26" ref="J10"/>
    <hyperlink r:id="rId27" ref="O10"/>
    <hyperlink r:id="rId28" location="overview" ref="P10"/>
    <hyperlink r:id="rId29" ref="Q10"/>
    <hyperlink r:id="rId30" ref="H11"/>
    <hyperlink r:id="rId31" ref="J11"/>
    <hyperlink r:id="rId32" ref="O11"/>
    <hyperlink r:id="rId33" ref="P11"/>
    <hyperlink r:id="rId34" ref="H12"/>
    <hyperlink r:id="rId35" ref="J12"/>
    <hyperlink r:id="rId36" ref="O12"/>
    <hyperlink r:id="rId37" ref="P12"/>
    <hyperlink r:id="rId38" ref="H14"/>
    <hyperlink r:id="rId39" ref="J14"/>
    <hyperlink r:id="rId40" ref="O14"/>
    <hyperlink r:id="rId41" ref="P14"/>
    <hyperlink r:id="rId42" ref="Q14"/>
    <hyperlink r:id="rId43" ref="H15"/>
    <hyperlink r:id="rId44" ref="J15"/>
    <hyperlink r:id="rId45" ref="O15"/>
    <hyperlink r:id="rId46" ref="P15"/>
    <hyperlink r:id="rId47" ref="Q15"/>
    <hyperlink r:id="rId48" ref="H16"/>
    <hyperlink r:id="rId49" ref="J16"/>
    <hyperlink r:id="rId50" ref="O16"/>
    <hyperlink r:id="rId51" ref="P16"/>
    <hyperlink r:id="rId52" ref="Q16"/>
    <hyperlink r:id="rId53" ref="R16"/>
    <hyperlink r:id="rId54" ref="O17"/>
    <hyperlink r:id="rId55" ref="P17"/>
    <hyperlink r:id="rId56" ref="Q17"/>
    <hyperlink r:id="rId57" ref="H18"/>
    <hyperlink r:id="rId58" ref="J18"/>
    <hyperlink r:id="rId59" ref="O18"/>
    <hyperlink r:id="rId60" ref="P18"/>
    <hyperlink r:id="rId61" ref="Q18"/>
    <hyperlink r:id="rId62" ref="H19"/>
    <hyperlink r:id="rId63" ref="O19"/>
    <hyperlink r:id="rId64" ref="P19"/>
    <hyperlink r:id="rId65" ref="Q19"/>
    <hyperlink r:id="rId66" ref="H20"/>
    <hyperlink r:id="rId67" ref="J20"/>
    <hyperlink r:id="rId68" ref="O20"/>
    <hyperlink r:id="rId69" ref="P20"/>
    <hyperlink r:id="rId70" ref="Q20"/>
  </hyperlinks>
  <drawing r:id="rId71"/>
  <tableParts count="1">
    <tablePart r:id="rId7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7.38"/>
    <col customWidth="1" min="2" max="2" width="11.88"/>
    <col customWidth="1" min="3" max="3" width="12.5"/>
    <col customWidth="1" min="4" max="4" width="14.75"/>
    <col customWidth="1" min="5" max="5" width="14.13"/>
    <col customWidth="1" min="6" max="6" width="16.75"/>
    <col customWidth="1" min="7" max="7" width="15.5"/>
    <col customWidth="1" min="8" max="8" width="9.63"/>
    <col customWidth="1" min="9" max="9" width="7.63"/>
    <col customWidth="1" min="10" max="10" width="14.5"/>
    <col customWidth="1" min="11" max="11" width="8.63"/>
    <col customWidth="1" min="12" max="12" width="8.5"/>
    <col customWidth="1" min="13" max="13" width="10.5"/>
    <col customWidth="1" min="14" max="14" width="15.0"/>
    <col customWidth="1" min="15" max="15" width="9.38"/>
    <col customWidth="1" min="16" max="16" width="14.0"/>
    <col customWidth="1" min="17" max="17" width="15.75"/>
    <col customWidth="1" min="18" max="18" width="21.63"/>
    <col customWidth="1" min="19" max="19" width="17.0"/>
    <col customWidth="1" min="20" max="21" width="18.13"/>
    <col customWidth="1" min="22" max="22" width="17.25"/>
    <col customWidth="1" min="23" max="23" width="14.0"/>
    <col customWidth="1" min="24" max="24" width="19.63"/>
    <col customWidth="1" min="25" max="25" width="14.88"/>
    <col customWidth="1" min="26" max="26" width="9.75"/>
    <col customWidth="1" min="27" max="27" width="17.38"/>
    <col customWidth="1" min="28" max="28" width="27.88"/>
  </cols>
  <sheetData>
    <row r="1">
      <c r="A1" s="100" t="s">
        <v>206</v>
      </c>
      <c r="D1" s="100"/>
      <c r="E1" s="2"/>
      <c r="F1" s="2"/>
      <c r="G1" s="2"/>
      <c r="H1" s="2"/>
      <c r="I1" s="2"/>
      <c r="S1" s="101"/>
    </row>
    <row r="2">
      <c r="A2" s="102"/>
      <c r="B2" s="102"/>
      <c r="C2" s="102"/>
      <c r="D2" s="102"/>
      <c r="E2" s="103" t="s">
        <v>38</v>
      </c>
      <c r="F2" s="13"/>
      <c r="G2" s="14"/>
      <c r="H2" s="104" t="s">
        <v>50</v>
      </c>
      <c r="I2" s="13"/>
      <c r="J2" s="13"/>
      <c r="K2" s="13"/>
      <c r="L2" s="13"/>
      <c r="M2" s="13"/>
      <c r="N2" s="13"/>
      <c r="O2" s="14"/>
      <c r="P2" s="105" t="s">
        <v>79</v>
      </c>
      <c r="Q2" s="13"/>
      <c r="R2" s="13"/>
      <c r="S2" s="13"/>
      <c r="T2" s="13"/>
      <c r="U2" s="14"/>
      <c r="V2" s="104" t="s">
        <v>91</v>
      </c>
      <c r="W2" s="13"/>
      <c r="X2" s="13"/>
      <c r="Y2" s="13"/>
      <c r="Z2" s="13"/>
      <c r="AA2" s="14"/>
    </row>
    <row r="3">
      <c r="A3" s="106" t="s">
        <v>23</v>
      </c>
      <c r="B3" s="106" t="s">
        <v>21</v>
      </c>
      <c r="C3" s="107" t="s">
        <v>30</v>
      </c>
      <c r="D3" s="106" t="s">
        <v>34</v>
      </c>
      <c r="E3" s="108" t="s">
        <v>39</v>
      </c>
      <c r="F3" s="107" t="s">
        <v>18</v>
      </c>
      <c r="G3" s="108" t="s">
        <v>46</v>
      </c>
      <c r="H3" s="106" t="s">
        <v>51</v>
      </c>
      <c r="I3" s="107" t="s">
        <v>55</v>
      </c>
      <c r="J3" s="107" t="s">
        <v>58</v>
      </c>
      <c r="K3" s="107" t="s">
        <v>62</v>
      </c>
      <c r="L3" s="108" t="s">
        <v>65</v>
      </c>
      <c r="M3" s="108" t="s">
        <v>67</v>
      </c>
      <c r="N3" s="107" t="s">
        <v>70</v>
      </c>
      <c r="O3" s="107" t="s">
        <v>75</v>
      </c>
      <c r="P3" s="109" t="s">
        <v>80</v>
      </c>
      <c r="Q3" s="107" t="s">
        <v>83</v>
      </c>
      <c r="R3" s="107" t="s">
        <v>86</v>
      </c>
      <c r="S3" s="108" t="s">
        <v>88</v>
      </c>
      <c r="T3" s="107" t="s">
        <v>89</v>
      </c>
      <c r="U3" s="107" t="s">
        <v>90</v>
      </c>
      <c r="V3" s="109" t="s">
        <v>92</v>
      </c>
      <c r="W3" s="107" t="s">
        <v>94</v>
      </c>
      <c r="X3" s="110" t="s">
        <v>95</v>
      </c>
      <c r="Y3" s="108" t="s">
        <v>97</v>
      </c>
      <c r="Z3" s="107" t="s">
        <v>98</v>
      </c>
      <c r="AA3" s="107" t="s">
        <v>99</v>
      </c>
      <c r="AB3" s="51"/>
      <c r="AC3" s="51"/>
      <c r="AD3" s="51"/>
      <c r="AE3" s="51"/>
    </row>
    <row r="4">
      <c r="A4" s="111">
        <v>1.0</v>
      </c>
      <c r="B4" s="111" t="s">
        <v>101</v>
      </c>
      <c r="C4" s="112" t="s">
        <v>207</v>
      </c>
      <c r="D4" s="111"/>
      <c r="E4" s="113" t="s">
        <v>208</v>
      </c>
      <c r="F4" s="114" t="s">
        <v>209</v>
      </c>
      <c r="G4" s="115" t="s">
        <v>210</v>
      </c>
      <c r="H4" s="116">
        <v>2000.0</v>
      </c>
      <c r="I4" s="116">
        <v>2001.0</v>
      </c>
      <c r="J4" s="111" t="s">
        <v>211</v>
      </c>
      <c r="K4" s="116">
        <v>50.0</v>
      </c>
      <c r="L4" s="111" t="s">
        <v>212</v>
      </c>
      <c r="M4" s="117">
        <v>2000.0</v>
      </c>
      <c r="N4" s="118" t="s">
        <v>213</v>
      </c>
      <c r="O4" s="111" t="s">
        <v>214</v>
      </c>
      <c r="P4" s="119"/>
      <c r="Q4" s="120"/>
      <c r="R4" s="121"/>
      <c r="S4" s="122"/>
      <c r="T4" s="123"/>
      <c r="U4" s="122"/>
      <c r="V4" s="119">
        <v>2001.0</v>
      </c>
      <c r="W4" s="115" t="s">
        <v>215</v>
      </c>
      <c r="X4" s="116" t="s">
        <v>216</v>
      </c>
      <c r="Y4" s="115" t="s">
        <v>215</v>
      </c>
      <c r="Z4" s="124" t="s">
        <v>217</v>
      </c>
      <c r="AA4" s="111" t="s">
        <v>218</v>
      </c>
    </row>
    <row r="5">
      <c r="A5" s="111">
        <v>2.0</v>
      </c>
      <c r="B5" s="111" t="s">
        <v>101</v>
      </c>
      <c r="C5" s="112" t="s">
        <v>219</v>
      </c>
      <c r="D5" s="111"/>
      <c r="E5" s="113" t="s">
        <v>208</v>
      </c>
      <c r="F5" s="114" t="s">
        <v>220</v>
      </c>
      <c r="G5" s="115" t="s">
        <v>221</v>
      </c>
      <c r="H5" s="116">
        <v>2000.0</v>
      </c>
      <c r="I5" s="116">
        <v>2001.0</v>
      </c>
      <c r="J5" s="111" t="s">
        <v>222</v>
      </c>
      <c r="K5" s="115">
        <v>0.0</v>
      </c>
      <c r="L5" s="115" t="s">
        <v>223</v>
      </c>
      <c r="M5" s="117">
        <v>2000.0</v>
      </c>
      <c r="N5" s="118" t="s">
        <v>213</v>
      </c>
      <c r="O5" s="111" t="s">
        <v>214</v>
      </c>
      <c r="P5" s="119"/>
      <c r="Q5" s="120"/>
      <c r="R5" s="121"/>
      <c r="S5" s="122"/>
      <c r="T5" s="123"/>
      <c r="U5" s="122"/>
      <c r="V5" s="119">
        <v>2001.0</v>
      </c>
      <c r="W5" s="120"/>
      <c r="X5" s="116" t="s">
        <v>224</v>
      </c>
      <c r="Y5" s="120"/>
      <c r="Z5" s="124" t="s">
        <v>217</v>
      </c>
      <c r="AA5" s="111" t="s">
        <v>225</v>
      </c>
    </row>
    <row r="6">
      <c r="A6" s="111">
        <v>3.0</v>
      </c>
      <c r="B6" s="111" t="s">
        <v>101</v>
      </c>
      <c r="C6" s="112" t="s">
        <v>219</v>
      </c>
      <c r="D6" s="111"/>
      <c r="E6" s="113" t="s">
        <v>208</v>
      </c>
      <c r="F6" s="114" t="s">
        <v>220</v>
      </c>
      <c r="G6" s="115" t="s">
        <v>210</v>
      </c>
      <c r="H6" s="116">
        <v>2001.0</v>
      </c>
      <c r="I6" s="116">
        <v>2002.0</v>
      </c>
      <c r="J6" s="125" t="s">
        <v>226</v>
      </c>
      <c r="K6" s="125" t="s">
        <v>227</v>
      </c>
      <c r="L6" s="111" t="s">
        <v>212</v>
      </c>
      <c r="M6" s="126">
        <v>2001.0</v>
      </c>
      <c r="N6" s="127" t="s">
        <v>217</v>
      </c>
      <c r="O6" s="127" t="s">
        <v>218</v>
      </c>
      <c r="P6" s="119"/>
      <c r="Q6" s="120"/>
      <c r="R6" s="121"/>
      <c r="S6" s="122"/>
      <c r="T6" s="123"/>
      <c r="U6" s="122"/>
      <c r="V6" s="119">
        <v>2002.0</v>
      </c>
      <c r="W6" s="115" t="s">
        <v>215</v>
      </c>
      <c r="X6" s="116" t="s">
        <v>228</v>
      </c>
      <c r="Y6" s="115" t="s">
        <v>215</v>
      </c>
      <c r="Z6" s="124" t="s">
        <v>229</v>
      </c>
      <c r="AA6" s="111" t="s">
        <v>230</v>
      </c>
    </row>
    <row r="7">
      <c r="A7" s="111">
        <v>4.0</v>
      </c>
      <c r="B7" s="115" t="s">
        <v>101</v>
      </c>
      <c r="C7" s="62" t="s">
        <v>219</v>
      </c>
      <c r="D7" s="115"/>
      <c r="E7" s="62" t="s">
        <v>231</v>
      </c>
      <c r="F7" s="114" t="s">
        <v>209</v>
      </c>
      <c r="G7" s="115" t="s">
        <v>221</v>
      </c>
      <c r="H7" s="115">
        <v>2000.0</v>
      </c>
      <c r="I7" s="115">
        <v>2002.0</v>
      </c>
      <c r="J7" s="115" t="s">
        <v>232</v>
      </c>
      <c r="K7" s="115">
        <v>0.0</v>
      </c>
      <c r="L7" s="115" t="s">
        <v>233</v>
      </c>
      <c r="M7" s="128">
        <v>2000.0</v>
      </c>
      <c r="N7" s="124" t="s">
        <v>234</v>
      </c>
      <c r="O7" s="115" t="s">
        <v>235</v>
      </c>
      <c r="P7" s="129"/>
      <c r="Q7" s="130"/>
      <c r="R7" s="131"/>
      <c r="S7" s="127"/>
      <c r="T7" s="127"/>
      <c r="U7" s="130"/>
      <c r="V7" s="132">
        <v>2003.0</v>
      </c>
      <c r="W7" s="115"/>
      <c r="X7" s="133" t="s">
        <v>236</v>
      </c>
      <c r="Y7" s="115"/>
      <c r="Z7" s="124" t="s">
        <v>237</v>
      </c>
      <c r="AA7" s="115" t="s">
        <v>238</v>
      </c>
    </row>
    <row r="8">
      <c r="A8" s="111">
        <v>5.0</v>
      </c>
      <c r="B8" s="115" t="s">
        <v>101</v>
      </c>
      <c r="C8" s="62" t="s">
        <v>219</v>
      </c>
      <c r="D8" s="115"/>
      <c r="E8" s="62" t="s">
        <v>208</v>
      </c>
      <c r="F8" s="114" t="s">
        <v>209</v>
      </c>
      <c r="G8" s="115" t="s">
        <v>210</v>
      </c>
      <c r="H8" s="115">
        <v>2000.0</v>
      </c>
      <c r="I8" s="115">
        <v>2003.0</v>
      </c>
      <c r="J8" s="115" t="s">
        <v>239</v>
      </c>
      <c r="K8" s="115">
        <v>20.0</v>
      </c>
      <c r="L8" s="115" t="s">
        <v>240</v>
      </c>
      <c r="M8" s="128">
        <v>2003.0</v>
      </c>
      <c r="N8" s="124" t="s">
        <v>237</v>
      </c>
      <c r="O8" s="115" t="s">
        <v>241</v>
      </c>
      <c r="P8" s="129">
        <v>1999.0</v>
      </c>
      <c r="Q8" s="130" t="s">
        <v>239</v>
      </c>
      <c r="R8" s="131">
        <v>140.0</v>
      </c>
      <c r="S8" s="127" t="s">
        <v>240</v>
      </c>
      <c r="T8" s="127" t="s">
        <v>237</v>
      </c>
      <c r="U8" s="130" t="s">
        <v>242</v>
      </c>
      <c r="V8" s="132">
        <v>2003.0</v>
      </c>
      <c r="W8" s="115" t="s">
        <v>239</v>
      </c>
      <c r="X8" s="133">
        <v>24.0</v>
      </c>
      <c r="Y8" s="115" t="s">
        <v>239</v>
      </c>
      <c r="Z8" s="124" t="s">
        <v>237</v>
      </c>
      <c r="AA8" s="115" t="s">
        <v>243</v>
      </c>
    </row>
    <row r="9">
      <c r="A9" s="111">
        <v>6.0</v>
      </c>
      <c r="B9" s="115" t="s">
        <v>101</v>
      </c>
      <c r="C9" s="62" t="s">
        <v>219</v>
      </c>
      <c r="D9" s="115"/>
      <c r="E9" s="62" t="s">
        <v>231</v>
      </c>
      <c r="F9" s="62" t="s">
        <v>244</v>
      </c>
      <c r="G9" s="134"/>
      <c r="H9" s="135">
        <v>2008.0</v>
      </c>
      <c r="I9" s="131">
        <v>2010.0</v>
      </c>
      <c r="J9" s="115" t="s">
        <v>245</v>
      </c>
      <c r="K9" s="115">
        <v>0.0</v>
      </c>
      <c r="L9" s="115"/>
      <c r="M9" s="128">
        <v>2010.0</v>
      </c>
      <c r="N9" s="136" t="s">
        <v>246</v>
      </c>
      <c r="O9" s="115" t="s">
        <v>247</v>
      </c>
      <c r="P9" s="129"/>
      <c r="Q9" s="130"/>
      <c r="R9" s="131"/>
      <c r="S9" s="127"/>
      <c r="T9" s="127"/>
      <c r="U9" s="130"/>
      <c r="V9" s="132">
        <v>2010.0</v>
      </c>
      <c r="W9" s="115" t="s">
        <v>248</v>
      </c>
      <c r="X9" s="133"/>
      <c r="Y9" s="115" t="s">
        <v>248</v>
      </c>
      <c r="Z9" s="136" t="s">
        <v>249</v>
      </c>
      <c r="AA9" s="115" t="s">
        <v>250</v>
      </c>
    </row>
    <row r="10">
      <c r="A10" s="111">
        <v>7.0</v>
      </c>
      <c r="B10" s="115" t="s">
        <v>101</v>
      </c>
      <c r="C10" s="62" t="s">
        <v>207</v>
      </c>
      <c r="D10" s="115"/>
      <c r="E10" s="62" t="s">
        <v>208</v>
      </c>
      <c r="F10" s="62" t="s">
        <v>220</v>
      </c>
      <c r="G10" s="115" t="s">
        <v>251</v>
      </c>
      <c r="H10" s="115">
        <v>2010.0</v>
      </c>
      <c r="I10" s="115">
        <v>2015.0</v>
      </c>
      <c r="J10" s="115" t="s">
        <v>252</v>
      </c>
      <c r="K10" s="137">
        <v>0.4</v>
      </c>
      <c r="L10" s="115" t="s">
        <v>253</v>
      </c>
      <c r="M10" s="117">
        <v>2010.0</v>
      </c>
      <c r="N10" s="118" t="s">
        <v>254</v>
      </c>
      <c r="O10" s="124" t="s">
        <v>255</v>
      </c>
      <c r="P10" s="129"/>
      <c r="Q10" s="130"/>
      <c r="R10" s="131"/>
      <c r="S10" s="127"/>
      <c r="T10" s="127"/>
      <c r="U10" s="130"/>
      <c r="V10" s="132">
        <v>2015.0</v>
      </c>
      <c r="W10" s="115"/>
      <c r="X10" s="138">
        <v>0.43</v>
      </c>
      <c r="Y10" s="115" t="s">
        <v>253</v>
      </c>
      <c r="Z10" s="136" t="s">
        <v>256</v>
      </c>
      <c r="AA10" s="115" t="s">
        <v>257</v>
      </c>
    </row>
    <row r="11">
      <c r="A11" s="111">
        <v>8.0</v>
      </c>
      <c r="B11" s="115" t="s">
        <v>101</v>
      </c>
      <c r="C11" s="62" t="s">
        <v>219</v>
      </c>
      <c r="D11" s="115"/>
      <c r="E11" s="62" t="s">
        <v>231</v>
      </c>
      <c r="F11" s="62" t="s">
        <v>258</v>
      </c>
      <c r="G11" s="134"/>
      <c r="H11" s="115">
        <v>2008.0</v>
      </c>
      <c r="I11" s="115">
        <v>2015.0</v>
      </c>
      <c r="J11" s="115" t="s">
        <v>259</v>
      </c>
      <c r="K11" s="137">
        <v>-0.2</v>
      </c>
      <c r="L11" s="115" t="s">
        <v>260</v>
      </c>
      <c r="M11" s="139">
        <v>2010.0</v>
      </c>
      <c r="N11" s="140" t="s">
        <v>246</v>
      </c>
      <c r="O11" s="124" t="s">
        <v>261</v>
      </c>
      <c r="P11" s="129"/>
      <c r="Q11" s="130"/>
      <c r="R11" s="131"/>
      <c r="S11" s="127"/>
      <c r="T11" s="127"/>
      <c r="U11" s="130"/>
      <c r="V11" s="132">
        <v>2015.0</v>
      </c>
      <c r="W11" s="115" t="s">
        <v>259</v>
      </c>
      <c r="X11" s="138">
        <v>-0.15</v>
      </c>
      <c r="Y11" s="115" t="s">
        <v>259</v>
      </c>
      <c r="Z11" s="136" t="s">
        <v>256</v>
      </c>
      <c r="AA11" s="115" t="s">
        <v>262</v>
      </c>
    </row>
    <row r="12">
      <c r="A12" s="111">
        <v>9.0</v>
      </c>
      <c r="B12" s="115" t="s">
        <v>101</v>
      </c>
      <c r="C12" s="62" t="s">
        <v>207</v>
      </c>
      <c r="D12" s="115"/>
      <c r="E12" s="62" t="s">
        <v>208</v>
      </c>
      <c r="F12" s="62" t="s">
        <v>263</v>
      </c>
      <c r="G12" s="115" t="s">
        <v>264</v>
      </c>
      <c r="H12" s="115">
        <v>2008.0</v>
      </c>
      <c r="I12" s="115">
        <v>2015.0</v>
      </c>
      <c r="J12" s="115" t="s">
        <v>265</v>
      </c>
      <c r="K12" s="137">
        <v>-0.3</v>
      </c>
      <c r="L12" s="115" t="s">
        <v>266</v>
      </c>
      <c r="M12" s="128">
        <v>2010.0</v>
      </c>
      <c r="N12" s="141" t="s">
        <v>246</v>
      </c>
      <c r="O12" s="142" t="s">
        <v>261</v>
      </c>
      <c r="P12" s="129"/>
      <c r="Q12" s="130"/>
      <c r="R12" s="131"/>
      <c r="S12" s="127"/>
      <c r="T12" s="127"/>
      <c r="U12" s="130"/>
      <c r="V12" s="132">
        <v>2015.0</v>
      </c>
      <c r="W12" s="115" t="s">
        <v>265</v>
      </c>
      <c r="X12" s="138">
        <v>-0.3</v>
      </c>
      <c r="Y12" s="115" t="s">
        <v>265</v>
      </c>
      <c r="Z12" s="136" t="s">
        <v>256</v>
      </c>
      <c r="AA12" s="115" t="s">
        <v>262</v>
      </c>
    </row>
    <row r="13">
      <c r="A13" s="111">
        <v>10.0</v>
      </c>
      <c r="B13" s="115" t="s">
        <v>101</v>
      </c>
      <c r="C13" s="62" t="s">
        <v>207</v>
      </c>
      <c r="D13" s="115"/>
      <c r="E13" s="62" t="s">
        <v>208</v>
      </c>
      <c r="F13" s="62" t="s">
        <v>267</v>
      </c>
      <c r="G13" s="134"/>
      <c r="H13" s="135">
        <v>2008.0</v>
      </c>
      <c r="I13" s="135">
        <v>2015.0</v>
      </c>
      <c r="J13" s="115" t="s">
        <v>268</v>
      </c>
      <c r="K13" s="137">
        <v>-0.2</v>
      </c>
      <c r="L13" s="115" t="s">
        <v>269</v>
      </c>
      <c r="M13" s="128">
        <v>2010.0</v>
      </c>
      <c r="N13" s="136" t="s">
        <v>246</v>
      </c>
      <c r="O13" s="124" t="s">
        <v>261</v>
      </c>
      <c r="P13" s="129"/>
      <c r="Q13" s="130"/>
      <c r="R13" s="131"/>
      <c r="S13" s="127"/>
      <c r="T13" s="127"/>
      <c r="U13" s="130"/>
      <c r="V13" s="132">
        <v>2015.0</v>
      </c>
      <c r="W13" s="115" t="s">
        <v>268</v>
      </c>
      <c r="X13" s="138">
        <v>-0.28</v>
      </c>
      <c r="Y13" s="115" t="s">
        <v>268</v>
      </c>
      <c r="Z13" s="136" t="s">
        <v>256</v>
      </c>
      <c r="AA13" s="115" t="s">
        <v>270</v>
      </c>
    </row>
    <row r="14">
      <c r="A14" s="111">
        <v>11.0</v>
      </c>
      <c r="B14" s="115" t="s">
        <v>101</v>
      </c>
      <c r="C14" s="62" t="s">
        <v>207</v>
      </c>
      <c r="D14" s="115"/>
      <c r="E14" s="62" t="s">
        <v>208</v>
      </c>
      <c r="F14" s="62" t="s">
        <v>244</v>
      </c>
      <c r="G14" s="134"/>
      <c r="H14" s="135">
        <v>2008.0</v>
      </c>
      <c r="I14" s="135">
        <v>2015.0</v>
      </c>
      <c r="J14" s="115" t="s">
        <v>271</v>
      </c>
      <c r="K14" s="137">
        <v>-0.25</v>
      </c>
      <c r="L14" s="125" t="s">
        <v>272</v>
      </c>
      <c r="M14" s="128">
        <v>2010.0</v>
      </c>
      <c r="N14" s="136" t="s">
        <v>246</v>
      </c>
      <c r="O14" s="124" t="s">
        <v>261</v>
      </c>
      <c r="P14" s="129"/>
      <c r="Q14" s="130"/>
      <c r="R14" s="131"/>
      <c r="S14" s="127"/>
      <c r="T14" s="127"/>
      <c r="U14" s="130"/>
      <c r="V14" s="132">
        <v>2015.0</v>
      </c>
      <c r="W14" s="115" t="s">
        <v>271</v>
      </c>
      <c r="X14" s="138">
        <v>-0.27</v>
      </c>
      <c r="Y14" s="115" t="s">
        <v>271</v>
      </c>
      <c r="Z14" s="136" t="s">
        <v>256</v>
      </c>
      <c r="AA14" s="115" t="s">
        <v>262</v>
      </c>
    </row>
    <row r="15">
      <c r="A15" s="111">
        <v>12.0</v>
      </c>
      <c r="B15" s="115" t="s">
        <v>101</v>
      </c>
      <c r="C15" s="62" t="s">
        <v>219</v>
      </c>
      <c r="D15" s="115"/>
      <c r="E15" s="62" t="s">
        <v>208</v>
      </c>
      <c r="F15" s="62" t="s">
        <v>244</v>
      </c>
      <c r="G15" s="134"/>
      <c r="H15" s="135">
        <v>2008.0</v>
      </c>
      <c r="I15" s="135">
        <v>2015.0</v>
      </c>
      <c r="J15" s="115" t="s">
        <v>273</v>
      </c>
      <c r="K15" s="137">
        <v>-0.5</v>
      </c>
      <c r="L15" s="125" t="s">
        <v>272</v>
      </c>
      <c r="M15" s="128">
        <v>2010.0</v>
      </c>
      <c r="N15" s="136" t="s">
        <v>246</v>
      </c>
      <c r="O15" s="124" t="s">
        <v>261</v>
      </c>
      <c r="P15" s="129"/>
      <c r="Q15" s="130"/>
      <c r="R15" s="131"/>
      <c r="S15" s="127"/>
      <c r="T15" s="127"/>
      <c r="U15" s="130"/>
      <c r="V15" s="132">
        <v>2015.0</v>
      </c>
      <c r="W15" s="115" t="s">
        <v>273</v>
      </c>
      <c r="X15" s="138">
        <v>-0.38</v>
      </c>
      <c r="Y15" s="115" t="s">
        <v>273</v>
      </c>
      <c r="Z15" s="136" t="s">
        <v>256</v>
      </c>
      <c r="AA15" s="115" t="s">
        <v>262</v>
      </c>
    </row>
    <row r="16">
      <c r="A16" s="111">
        <v>13.0</v>
      </c>
      <c r="B16" s="115" t="s">
        <v>101</v>
      </c>
      <c r="C16" s="62" t="s">
        <v>274</v>
      </c>
      <c r="D16" s="115" t="s">
        <v>275</v>
      </c>
      <c r="E16" s="62" t="s">
        <v>231</v>
      </c>
      <c r="F16" s="62" t="s">
        <v>263</v>
      </c>
      <c r="G16" s="115" t="s">
        <v>264</v>
      </c>
      <c r="H16" s="135">
        <v>2008.0</v>
      </c>
      <c r="I16" s="135">
        <v>2015.0</v>
      </c>
      <c r="J16" s="115" t="s">
        <v>276</v>
      </c>
      <c r="K16" s="115">
        <v>570.0</v>
      </c>
      <c r="L16" s="115" t="s">
        <v>277</v>
      </c>
      <c r="M16" s="128">
        <v>2011.0</v>
      </c>
      <c r="N16" s="136" t="s">
        <v>249</v>
      </c>
      <c r="O16" s="115" t="s">
        <v>278</v>
      </c>
      <c r="P16" s="129"/>
      <c r="Q16" s="130"/>
      <c r="R16" s="131"/>
      <c r="S16" s="127"/>
      <c r="T16" s="127"/>
      <c r="U16" s="130"/>
      <c r="V16" s="132">
        <v>2015.0</v>
      </c>
      <c r="W16" s="115" t="s">
        <v>276</v>
      </c>
      <c r="X16" s="133"/>
      <c r="Y16" s="115" t="s">
        <v>276</v>
      </c>
      <c r="Z16" s="124"/>
      <c r="AA16" s="115" t="s">
        <v>279</v>
      </c>
    </row>
    <row r="17">
      <c r="A17" s="111">
        <v>14.0</v>
      </c>
      <c r="B17" s="115" t="s">
        <v>101</v>
      </c>
      <c r="C17" s="62" t="s">
        <v>274</v>
      </c>
      <c r="D17" s="115" t="s">
        <v>275</v>
      </c>
      <c r="E17" s="62" t="s">
        <v>231</v>
      </c>
      <c r="F17" s="62" t="s">
        <v>263</v>
      </c>
      <c r="G17" s="115" t="s">
        <v>280</v>
      </c>
      <c r="H17" s="135">
        <v>2008.0</v>
      </c>
      <c r="I17" s="135">
        <v>2015.0</v>
      </c>
      <c r="J17" s="115" t="s">
        <v>281</v>
      </c>
      <c r="K17" s="137">
        <v>-0.3</v>
      </c>
      <c r="L17" s="115" t="s">
        <v>282</v>
      </c>
      <c r="M17" s="128">
        <v>2011.0</v>
      </c>
      <c r="N17" s="136" t="s">
        <v>249</v>
      </c>
      <c r="O17" s="115" t="s">
        <v>278</v>
      </c>
      <c r="P17" s="129"/>
      <c r="Q17" s="130"/>
      <c r="R17" s="131"/>
      <c r="S17" s="127"/>
      <c r="T17" s="127"/>
      <c r="U17" s="130"/>
      <c r="V17" s="132">
        <v>2015.0</v>
      </c>
      <c r="W17" s="115" t="s">
        <v>281</v>
      </c>
      <c r="X17" s="133"/>
      <c r="Y17" s="115" t="s">
        <v>281</v>
      </c>
      <c r="Z17" s="124"/>
      <c r="AA17" s="115" t="s">
        <v>279</v>
      </c>
    </row>
    <row r="18">
      <c r="A18" s="111">
        <v>16.0</v>
      </c>
      <c r="B18" s="115" t="s">
        <v>101</v>
      </c>
      <c r="C18" s="112" t="s">
        <v>219</v>
      </c>
      <c r="D18" s="115"/>
      <c r="E18" s="113" t="s">
        <v>231</v>
      </c>
      <c r="F18" s="62" t="s">
        <v>263</v>
      </c>
      <c r="G18" s="115" t="s">
        <v>264</v>
      </c>
      <c r="H18" s="115">
        <v>2010.0</v>
      </c>
      <c r="I18" s="115">
        <v>2015.0</v>
      </c>
      <c r="J18" s="111" t="s">
        <v>283</v>
      </c>
      <c r="K18" s="143">
        <v>0.1</v>
      </c>
      <c r="L18" s="111" t="s">
        <v>284</v>
      </c>
      <c r="M18" s="117">
        <v>2010.0</v>
      </c>
      <c r="N18" s="118" t="s">
        <v>254</v>
      </c>
      <c r="O18" s="115" t="s">
        <v>255</v>
      </c>
      <c r="P18" s="144"/>
      <c r="Q18" s="120"/>
      <c r="R18" s="121"/>
      <c r="S18" s="122"/>
      <c r="T18" s="123"/>
      <c r="U18" s="122"/>
      <c r="V18" s="119"/>
      <c r="W18" s="145"/>
      <c r="X18" s="143"/>
      <c r="Y18" s="145"/>
      <c r="Z18" s="136" t="s">
        <v>256</v>
      </c>
      <c r="AA18" s="111" t="s">
        <v>285</v>
      </c>
    </row>
    <row r="19">
      <c r="A19" s="111">
        <v>17.0</v>
      </c>
      <c r="B19" s="115" t="s">
        <v>101</v>
      </c>
      <c r="C19" s="112" t="s">
        <v>207</v>
      </c>
      <c r="D19" s="115"/>
      <c r="E19" s="113" t="s">
        <v>231</v>
      </c>
      <c r="F19" s="62" t="s">
        <v>220</v>
      </c>
      <c r="G19" s="134"/>
      <c r="H19" s="115">
        <v>2010.0</v>
      </c>
      <c r="I19" s="115">
        <v>2015.0</v>
      </c>
      <c r="J19" s="111" t="s">
        <v>286</v>
      </c>
      <c r="K19" s="143">
        <v>1.0</v>
      </c>
      <c r="L19" s="111" t="s">
        <v>287</v>
      </c>
      <c r="M19" s="117">
        <v>2011.0</v>
      </c>
      <c r="N19" s="118" t="s">
        <v>288</v>
      </c>
      <c r="O19" s="115" t="s">
        <v>289</v>
      </c>
      <c r="P19" s="144"/>
      <c r="Q19" s="120"/>
      <c r="R19" s="121"/>
      <c r="S19" s="122"/>
      <c r="T19" s="123"/>
      <c r="U19" s="122"/>
      <c r="V19" s="119">
        <v>2015.0</v>
      </c>
      <c r="W19" s="145"/>
      <c r="X19" s="143">
        <v>1.0</v>
      </c>
      <c r="Y19" s="111" t="s">
        <v>287</v>
      </c>
      <c r="Z19" s="136" t="s">
        <v>256</v>
      </c>
      <c r="AA19" s="111" t="s">
        <v>290</v>
      </c>
    </row>
    <row r="20">
      <c r="A20" s="111">
        <v>18.0</v>
      </c>
      <c r="B20" s="111" t="s">
        <v>101</v>
      </c>
      <c r="C20" s="112" t="s">
        <v>207</v>
      </c>
      <c r="D20" s="111"/>
      <c r="E20" s="113" t="s">
        <v>208</v>
      </c>
      <c r="F20" s="114" t="s">
        <v>220</v>
      </c>
      <c r="G20" s="115" t="s">
        <v>251</v>
      </c>
      <c r="H20" s="116">
        <v>2010.0</v>
      </c>
      <c r="I20" s="116">
        <v>2018.0</v>
      </c>
      <c r="J20" s="111" t="s">
        <v>291</v>
      </c>
      <c r="K20" s="143">
        <v>1.0</v>
      </c>
      <c r="L20" s="111" t="s">
        <v>292</v>
      </c>
      <c r="M20" s="117">
        <v>2016.0</v>
      </c>
      <c r="N20" s="118" t="s">
        <v>293</v>
      </c>
      <c r="O20" s="111" t="s">
        <v>294</v>
      </c>
      <c r="P20" s="144"/>
      <c r="Q20" s="120"/>
      <c r="R20" s="121"/>
      <c r="S20" s="122"/>
      <c r="T20" s="123"/>
      <c r="U20" s="122"/>
      <c r="V20" s="119">
        <v>2018.0</v>
      </c>
      <c r="W20" s="145" t="s">
        <v>295</v>
      </c>
      <c r="X20" s="143">
        <v>1.0</v>
      </c>
      <c r="Y20" s="145" t="s">
        <v>295</v>
      </c>
      <c r="Z20" s="118" t="s">
        <v>296</v>
      </c>
      <c r="AA20" s="111" t="s">
        <v>297</v>
      </c>
    </row>
    <row r="21">
      <c r="A21" s="111">
        <v>19.0</v>
      </c>
      <c r="B21" s="111" t="s">
        <v>101</v>
      </c>
      <c r="C21" s="112" t="s">
        <v>219</v>
      </c>
      <c r="D21" s="111"/>
      <c r="E21" s="113" t="s">
        <v>208</v>
      </c>
      <c r="F21" s="114" t="s">
        <v>244</v>
      </c>
      <c r="G21" s="146"/>
      <c r="H21" s="116">
        <v>2017.0</v>
      </c>
      <c r="I21" s="116">
        <v>2017.0</v>
      </c>
      <c r="J21" s="111" t="s">
        <v>298</v>
      </c>
      <c r="K21" s="143">
        <v>0.0</v>
      </c>
      <c r="L21" s="111" t="s">
        <v>299</v>
      </c>
      <c r="M21" s="117">
        <v>2017.0</v>
      </c>
      <c r="N21" s="118" t="s">
        <v>300</v>
      </c>
      <c r="O21" s="111" t="s">
        <v>301</v>
      </c>
      <c r="P21" s="144"/>
      <c r="Q21" s="120"/>
      <c r="R21" s="121"/>
      <c r="S21" s="122"/>
      <c r="T21" s="123"/>
      <c r="U21" s="122"/>
      <c r="V21" s="119">
        <v>2018.0</v>
      </c>
      <c r="W21" s="145"/>
      <c r="X21" s="116" t="s">
        <v>224</v>
      </c>
      <c r="Y21" s="145" t="s">
        <v>302</v>
      </c>
      <c r="Z21" s="118" t="s">
        <v>303</v>
      </c>
      <c r="AA21" s="111" t="s">
        <v>304</v>
      </c>
    </row>
    <row r="22">
      <c r="A22" s="111">
        <v>20.0</v>
      </c>
      <c r="B22" s="111" t="s">
        <v>101</v>
      </c>
      <c r="C22" s="112" t="s">
        <v>207</v>
      </c>
      <c r="D22" s="111"/>
      <c r="E22" s="113" t="s">
        <v>208</v>
      </c>
      <c r="F22" s="114" t="s">
        <v>267</v>
      </c>
      <c r="G22" s="146"/>
      <c r="H22" s="116">
        <v>2016.0</v>
      </c>
      <c r="I22" s="116">
        <v>2020.0</v>
      </c>
      <c r="J22" s="111" t="s">
        <v>305</v>
      </c>
      <c r="K22" s="143">
        <v>-0.2</v>
      </c>
      <c r="L22" s="111" t="s">
        <v>306</v>
      </c>
      <c r="M22" s="117">
        <v>2016.0</v>
      </c>
      <c r="N22" s="118" t="s">
        <v>293</v>
      </c>
      <c r="O22" s="111" t="s">
        <v>294</v>
      </c>
      <c r="P22" s="119">
        <v>2014.0</v>
      </c>
      <c r="Q22" s="120"/>
      <c r="R22" s="121"/>
      <c r="S22" s="122"/>
      <c r="T22" s="123"/>
      <c r="U22" s="122"/>
      <c r="V22" s="144"/>
      <c r="W22" s="145" t="s">
        <v>307</v>
      </c>
      <c r="X22" s="143">
        <v>-0.36</v>
      </c>
      <c r="Y22" s="145" t="s">
        <v>307</v>
      </c>
      <c r="Z22" s="118" t="s">
        <v>296</v>
      </c>
      <c r="AA22" s="111" t="s">
        <v>308</v>
      </c>
    </row>
    <row r="23">
      <c r="A23" s="111">
        <v>21.0</v>
      </c>
      <c r="B23" s="111" t="s">
        <v>101</v>
      </c>
      <c r="C23" s="112" t="s">
        <v>219</v>
      </c>
      <c r="D23" s="111"/>
      <c r="E23" s="113" t="s">
        <v>208</v>
      </c>
      <c r="F23" s="114" t="s">
        <v>267</v>
      </c>
      <c r="G23" s="146"/>
      <c r="H23" s="116">
        <v>2016.0</v>
      </c>
      <c r="I23" s="116">
        <v>2020.0</v>
      </c>
      <c r="J23" s="111" t="s">
        <v>309</v>
      </c>
      <c r="K23" s="143">
        <v>-0.5</v>
      </c>
      <c r="L23" s="111" t="s">
        <v>310</v>
      </c>
      <c r="M23" s="117">
        <v>2016.0</v>
      </c>
      <c r="N23" s="118" t="s">
        <v>293</v>
      </c>
      <c r="O23" s="111" t="s">
        <v>294</v>
      </c>
      <c r="P23" s="119">
        <v>2015.0</v>
      </c>
      <c r="Q23" s="120"/>
      <c r="R23" s="121"/>
      <c r="S23" s="122"/>
      <c r="T23" s="123"/>
      <c r="U23" s="122"/>
      <c r="V23" s="119">
        <v>2020.0</v>
      </c>
      <c r="W23" s="145" t="s">
        <v>311</v>
      </c>
      <c r="X23" s="143">
        <v>-0.43</v>
      </c>
      <c r="Y23" s="145" t="s">
        <v>311</v>
      </c>
      <c r="Z23" s="118" t="s">
        <v>296</v>
      </c>
      <c r="AA23" s="111" t="s">
        <v>312</v>
      </c>
    </row>
    <row r="24">
      <c r="A24" s="111">
        <v>22.0</v>
      </c>
      <c r="B24" s="111" t="s">
        <v>101</v>
      </c>
      <c r="C24" s="112" t="s">
        <v>207</v>
      </c>
      <c r="D24" s="111"/>
      <c r="E24" s="113" t="s">
        <v>208</v>
      </c>
      <c r="F24" s="114" t="s">
        <v>267</v>
      </c>
      <c r="G24" s="146"/>
      <c r="H24" s="116">
        <v>2016.0</v>
      </c>
      <c r="I24" s="116">
        <v>2020.0</v>
      </c>
      <c r="J24" s="111" t="s">
        <v>313</v>
      </c>
      <c r="K24" s="143">
        <v>-0.35</v>
      </c>
      <c r="L24" s="111" t="s">
        <v>314</v>
      </c>
      <c r="M24" s="117">
        <v>2016.0</v>
      </c>
      <c r="N24" s="118" t="s">
        <v>293</v>
      </c>
      <c r="O24" s="111" t="s">
        <v>315</v>
      </c>
      <c r="P24" s="147">
        <v>2008.0</v>
      </c>
      <c r="Q24" s="148"/>
      <c r="R24" s="149"/>
      <c r="S24" s="150"/>
      <c r="T24" s="151"/>
      <c r="U24" s="152"/>
      <c r="V24" s="119">
        <v>2020.0</v>
      </c>
      <c r="W24" s="145" t="s">
        <v>316</v>
      </c>
      <c r="X24" s="143">
        <v>-0.48</v>
      </c>
      <c r="Y24" s="145" t="s">
        <v>316</v>
      </c>
      <c r="Z24" s="118" t="s">
        <v>296</v>
      </c>
      <c r="AA24" s="111" t="s">
        <v>317</v>
      </c>
    </row>
    <row r="25">
      <c r="A25" s="111">
        <v>23.0</v>
      </c>
      <c r="B25" s="111" t="s">
        <v>101</v>
      </c>
      <c r="C25" s="112" t="s">
        <v>207</v>
      </c>
      <c r="D25" s="111"/>
      <c r="E25" s="113" t="s">
        <v>208</v>
      </c>
      <c r="F25" s="114" t="s">
        <v>244</v>
      </c>
      <c r="G25" s="146"/>
      <c r="H25" s="116">
        <v>2016.0</v>
      </c>
      <c r="I25" s="116">
        <v>2020.0</v>
      </c>
      <c r="J25" s="111" t="s">
        <v>318</v>
      </c>
      <c r="K25" s="143">
        <v>-0.2</v>
      </c>
      <c r="L25" s="111" t="s">
        <v>319</v>
      </c>
      <c r="M25" s="117">
        <v>2016.0</v>
      </c>
      <c r="N25" s="118" t="s">
        <v>293</v>
      </c>
      <c r="O25" s="111" t="s">
        <v>294</v>
      </c>
      <c r="P25" s="119">
        <v>2014.0</v>
      </c>
      <c r="Q25" s="120"/>
      <c r="R25" s="121"/>
      <c r="S25" s="122"/>
      <c r="T25" s="123"/>
      <c r="U25" s="122"/>
      <c r="V25" s="119">
        <v>2020.0</v>
      </c>
      <c r="W25" s="145" t="s">
        <v>320</v>
      </c>
      <c r="X25" s="143">
        <v>-0.3</v>
      </c>
      <c r="Y25" s="145" t="s">
        <v>320</v>
      </c>
      <c r="Z25" s="118" t="s">
        <v>296</v>
      </c>
      <c r="AA25" s="111" t="s">
        <v>308</v>
      </c>
    </row>
    <row r="26">
      <c r="A26" s="111">
        <v>24.0</v>
      </c>
      <c r="B26" s="111" t="s">
        <v>101</v>
      </c>
      <c r="C26" s="112" t="s">
        <v>207</v>
      </c>
      <c r="D26" s="111"/>
      <c r="E26" s="113" t="s">
        <v>231</v>
      </c>
      <c r="F26" s="114" t="s">
        <v>244</v>
      </c>
      <c r="G26" s="146"/>
      <c r="H26" s="116">
        <v>2016.0</v>
      </c>
      <c r="I26" s="116">
        <v>2020.0</v>
      </c>
      <c r="J26" s="111" t="s">
        <v>321</v>
      </c>
      <c r="K26" s="143">
        <v>-0.5</v>
      </c>
      <c r="L26" s="111" t="s">
        <v>322</v>
      </c>
      <c r="M26" s="117">
        <v>2016.0</v>
      </c>
      <c r="N26" s="118" t="s">
        <v>293</v>
      </c>
      <c r="O26" s="111" t="s">
        <v>294</v>
      </c>
      <c r="P26" s="119">
        <v>2015.0</v>
      </c>
      <c r="Q26" s="120"/>
      <c r="R26" s="121"/>
      <c r="S26" s="122"/>
      <c r="T26" s="123"/>
      <c r="U26" s="122"/>
      <c r="V26" s="119">
        <v>2020.0</v>
      </c>
      <c r="W26" s="111" t="s">
        <v>321</v>
      </c>
      <c r="X26" s="143">
        <v>-0.5</v>
      </c>
      <c r="Y26" s="111" t="s">
        <v>322</v>
      </c>
      <c r="Z26" s="111" t="s">
        <v>323</v>
      </c>
      <c r="AA26" s="111" t="s">
        <v>324</v>
      </c>
    </row>
    <row r="27">
      <c r="A27" s="111">
        <v>25.0</v>
      </c>
      <c r="B27" s="111" t="s">
        <v>101</v>
      </c>
      <c r="C27" s="112" t="s">
        <v>207</v>
      </c>
      <c r="D27" s="111"/>
      <c r="E27" s="113" t="s">
        <v>208</v>
      </c>
      <c r="F27" s="114" t="s">
        <v>244</v>
      </c>
      <c r="G27" s="146"/>
      <c r="H27" s="116">
        <v>2016.0</v>
      </c>
      <c r="I27" s="116">
        <v>2020.0</v>
      </c>
      <c r="J27" s="111" t="s">
        <v>325</v>
      </c>
      <c r="K27" s="143">
        <v>-0.75</v>
      </c>
      <c r="L27" s="111" t="s">
        <v>326</v>
      </c>
      <c r="M27" s="117">
        <v>2016.0</v>
      </c>
      <c r="N27" s="118" t="s">
        <v>293</v>
      </c>
      <c r="O27" s="111" t="s">
        <v>327</v>
      </c>
      <c r="P27" s="119">
        <v>2008.0</v>
      </c>
      <c r="Q27" s="120"/>
      <c r="R27" s="121"/>
      <c r="S27" s="122"/>
      <c r="T27" s="123"/>
      <c r="U27" s="122"/>
      <c r="V27" s="119">
        <v>2020.0</v>
      </c>
      <c r="W27" s="111" t="s">
        <v>325</v>
      </c>
      <c r="X27" s="143">
        <v>-0.8</v>
      </c>
      <c r="Y27" s="111" t="s">
        <v>326</v>
      </c>
      <c r="Z27" s="111" t="s">
        <v>323</v>
      </c>
      <c r="AA27" s="111" t="s">
        <v>328</v>
      </c>
    </row>
    <row r="28">
      <c r="A28" s="111">
        <v>26.0</v>
      </c>
      <c r="B28" s="111" t="s">
        <v>101</v>
      </c>
      <c r="C28" s="112" t="s">
        <v>207</v>
      </c>
      <c r="D28" s="111"/>
      <c r="E28" s="113" t="s">
        <v>231</v>
      </c>
      <c r="F28" s="114" t="s">
        <v>258</v>
      </c>
      <c r="G28" s="146"/>
      <c r="H28" s="116">
        <v>2016.0</v>
      </c>
      <c r="I28" s="116">
        <v>2020.0</v>
      </c>
      <c r="J28" s="111" t="s">
        <v>329</v>
      </c>
      <c r="K28" s="143">
        <v>-0.2</v>
      </c>
      <c r="L28" s="111" t="s">
        <v>330</v>
      </c>
      <c r="M28" s="117">
        <v>2016.0</v>
      </c>
      <c r="N28" s="118" t="s">
        <v>293</v>
      </c>
      <c r="O28" s="111" t="s">
        <v>294</v>
      </c>
      <c r="P28" s="119">
        <v>2014.0</v>
      </c>
      <c r="Q28" s="120"/>
      <c r="R28" s="121"/>
      <c r="S28" s="122"/>
      <c r="T28" s="123"/>
      <c r="U28" s="122"/>
      <c r="V28" s="144"/>
      <c r="W28" s="125" t="s">
        <v>331</v>
      </c>
      <c r="X28" s="153">
        <v>-0.23</v>
      </c>
      <c r="Y28" s="125" t="s">
        <v>331</v>
      </c>
      <c r="Z28" s="118" t="s">
        <v>296</v>
      </c>
      <c r="AA28" s="111" t="s">
        <v>308</v>
      </c>
    </row>
    <row r="29">
      <c r="A29" s="111">
        <v>27.0</v>
      </c>
      <c r="B29" s="111" t="s">
        <v>101</v>
      </c>
      <c r="C29" s="112" t="s">
        <v>207</v>
      </c>
      <c r="D29" s="111"/>
      <c r="E29" s="113" t="s">
        <v>208</v>
      </c>
      <c r="F29" s="114" t="s">
        <v>263</v>
      </c>
      <c r="G29" s="115" t="s">
        <v>280</v>
      </c>
      <c r="H29" s="116">
        <v>2016.0</v>
      </c>
      <c r="I29" s="116">
        <v>2020.0</v>
      </c>
      <c r="J29" s="111" t="s">
        <v>332</v>
      </c>
      <c r="K29" s="143">
        <v>-0.03</v>
      </c>
      <c r="L29" s="111" t="s">
        <v>333</v>
      </c>
      <c r="M29" s="117">
        <v>2016.0</v>
      </c>
      <c r="N29" s="118" t="s">
        <v>293</v>
      </c>
      <c r="O29" s="111" t="s">
        <v>294</v>
      </c>
      <c r="P29" s="119">
        <v>2015.0</v>
      </c>
      <c r="Q29" s="120"/>
      <c r="R29" s="121"/>
      <c r="S29" s="122"/>
      <c r="T29" s="123"/>
      <c r="U29" s="122"/>
      <c r="V29" s="144"/>
      <c r="W29" s="145" t="s">
        <v>334</v>
      </c>
      <c r="X29" s="143">
        <v>-0.55</v>
      </c>
      <c r="Y29" s="145" t="s">
        <v>334</v>
      </c>
      <c r="Z29" s="118" t="s">
        <v>296</v>
      </c>
      <c r="AA29" s="111" t="s">
        <v>317</v>
      </c>
    </row>
    <row r="30">
      <c r="A30" s="111">
        <v>29.0</v>
      </c>
      <c r="B30" s="115" t="s">
        <v>101</v>
      </c>
      <c r="C30" s="62" t="s">
        <v>207</v>
      </c>
      <c r="D30" s="115"/>
      <c r="E30" s="62" t="s">
        <v>208</v>
      </c>
      <c r="F30" s="62" t="s">
        <v>220</v>
      </c>
      <c r="G30" s="134"/>
      <c r="H30" s="115">
        <v>2023.0</v>
      </c>
      <c r="I30" s="115">
        <v>2024.0</v>
      </c>
      <c r="J30" s="115" t="s">
        <v>335</v>
      </c>
      <c r="K30" s="137">
        <v>1.0</v>
      </c>
      <c r="L30" s="115" t="s">
        <v>336</v>
      </c>
      <c r="M30" s="128">
        <v>2023.0</v>
      </c>
      <c r="N30" s="154" t="s">
        <v>337</v>
      </c>
      <c r="O30" s="115" t="s">
        <v>338</v>
      </c>
      <c r="P30" s="132"/>
      <c r="Q30" s="155"/>
      <c r="R30" s="115"/>
      <c r="S30" s="124"/>
      <c r="T30" s="124"/>
      <c r="U30" s="155"/>
      <c r="V30" s="132">
        <v>2024.0</v>
      </c>
      <c r="W30" s="115" t="s">
        <v>336</v>
      </c>
      <c r="X30" s="138">
        <v>1.0</v>
      </c>
      <c r="Y30" s="115" t="s">
        <v>336</v>
      </c>
      <c r="Z30" s="156" t="s">
        <v>339</v>
      </c>
      <c r="AA30" s="115" t="s">
        <v>340</v>
      </c>
    </row>
    <row r="31">
      <c r="A31" s="111">
        <v>30.0</v>
      </c>
      <c r="B31" s="115" t="s">
        <v>101</v>
      </c>
      <c r="C31" s="62" t="s">
        <v>219</v>
      </c>
      <c r="D31" s="115"/>
      <c r="E31" s="62" t="s">
        <v>208</v>
      </c>
      <c r="F31" s="62" t="s">
        <v>220</v>
      </c>
      <c r="G31" s="134"/>
      <c r="H31" s="115">
        <v>2017.0</v>
      </c>
      <c r="I31" s="115">
        <v>2024.0</v>
      </c>
      <c r="J31" s="115" t="s">
        <v>341</v>
      </c>
      <c r="K31" s="137">
        <v>1.0</v>
      </c>
      <c r="L31" s="115" t="s">
        <v>341</v>
      </c>
      <c r="M31" s="128">
        <v>2024.0</v>
      </c>
      <c r="N31" s="156" t="s">
        <v>339</v>
      </c>
      <c r="O31" s="115" t="s">
        <v>342</v>
      </c>
      <c r="P31" s="132"/>
      <c r="Q31" s="155"/>
      <c r="R31" s="115"/>
      <c r="S31" s="124"/>
      <c r="T31" s="124"/>
      <c r="U31" s="155"/>
      <c r="V31" s="132">
        <v>2024.0</v>
      </c>
      <c r="W31" s="115" t="s">
        <v>341</v>
      </c>
      <c r="X31" s="138">
        <v>0.99</v>
      </c>
      <c r="Y31" s="115" t="s">
        <v>341</v>
      </c>
      <c r="Z31" s="156" t="s">
        <v>339</v>
      </c>
      <c r="AA31" s="115" t="s">
        <v>342</v>
      </c>
    </row>
    <row r="32">
      <c r="A32" s="111">
        <v>31.0</v>
      </c>
      <c r="B32" s="125" t="s">
        <v>101</v>
      </c>
      <c r="C32" s="90" t="s">
        <v>343</v>
      </c>
      <c r="D32" s="125"/>
      <c r="E32" s="62" t="s">
        <v>231</v>
      </c>
      <c r="F32" s="62" t="s">
        <v>263</v>
      </c>
      <c r="G32" s="115" t="s">
        <v>280</v>
      </c>
      <c r="H32" s="125">
        <v>2021.0</v>
      </c>
      <c r="I32" s="115">
        <v>2025.0</v>
      </c>
      <c r="J32" s="115" t="s">
        <v>344</v>
      </c>
      <c r="K32" s="157"/>
      <c r="L32" s="154"/>
      <c r="M32" s="128">
        <v>2021.0</v>
      </c>
      <c r="N32" s="154" t="s">
        <v>345</v>
      </c>
      <c r="O32" s="115" t="s">
        <v>346</v>
      </c>
      <c r="P32" s="132"/>
      <c r="Q32" s="155"/>
      <c r="R32" s="115"/>
      <c r="S32" s="154"/>
      <c r="T32" s="154"/>
      <c r="U32" s="155"/>
      <c r="V32" s="158"/>
      <c r="W32" s="155"/>
      <c r="X32" s="133"/>
      <c r="Y32" s="155"/>
      <c r="Z32" s="154"/>
      <c r="AA32" s="155"/>
    </row>
    <row r="33">
      <c r="A33" s="111">
        <v>32.0</v>
      </c>
      <c r="B33" s="125" t="s">
        <v>101</v>
      </c>
      <c r="C33" s="90" t="s">
        <v>343</v>
      </c>
      <c r="D33" s="125"/>
      <c r="E33" s="62" t="s">
        <v>208</v>
      </c>
      <c r="F33" s="62" t="s">
        <v>267</v>
      </c>
      <c r="G33" s="134"/>
      <c r="H33" s="125">
        <v>2021.0</v>
      </c>
      <c r="I33" s="115">
        <v>2025.0</v>
      </c>
      <c r="J33" s="115" t="s">
        <v>347</v>
      </c>
      <c r="K33" s="137">
        <v>-0.15</v>
      </c>
      <c r="L33" s="154" t="s">
        <v>348</v>
      </c>
      <c r="M33" s="128">
        <v>2021.0</v>
      </c>
      <c r="N33" s="154" t="s">
        <v>345</v>
      </c>
      <c r="O33" s="115" t="s">
        <v>346</v>
      </c>
      <c r="P33" s="132">
        <v>2019.0</v>
      </c>
      <c r="Q33" s="155"/>
      <c r="R33" s="115"/>
      <c r="S33" s="154"/>
      <c r="T33" s="154"/>
      <c r="U33" s="155"/>
      <c r="V33" s="158"/>
      <c r="W33" s="155"/>
      <c r="X33" s="133"/>
      <c r="Y33" s="155"/>
      <c r="Z33" s="154"/>
      <c r="AA33" s="155"/>
    </row>
    <row r="34">
      <c r="A34" s="111">
        <v>33.0</v>
      </c>
      <c r="B34" s="125" t="s">
        <v>101</v>
      </c>
      <c r="C34" s="90" t="s">
        <v>343</v>
      </c>
      <c r="D34" s="125"/>
      <c r="E34" s="62" t="s">
        <v>231</v>
      </c>
      <c r="F34" s="62" t="s">
        <v>244</v>
      </c>
      <c r="G34" s="134"/>
      <c r="H34" s="125">
        <v>2021.0</v>
      </c>
      <c r="I34" s="115">
        <v>2025.0</v>
      </c>
      <c r="J34" s="115" t="s">
        <v>349</v>
      </c>
      <c r="K34" s="137">
        <v>-0.19</v>
      </c>
      <c r="L34" s="154" t="s">
        <v>350</v>
      </c>
      <c r="M34" s="128">
        <v>2021.0</v>
      </c>
      <c r="N34" s="154" t="s">
        <v>345</v>
      </c>
      <c r="O34" s="115" t="s">
        <v>346</v>
      </c>
      <c r="P34" s="132">
        <v>2019.0</v>
      </c>
      <c r="Q34" s="155"/>
      <c r="R34" s="115"/>
      <c r="S34" s="154"/>
      <c r="T34" s="154"/>
      <c r="U34" s="155"/>
      <c r="V34" s="158"/>
      <c r="W34" s="155"/>
      <c r="X34" s="133"/>
      <c r="Y34" s="155"/>
      <c r="Z34" s="154"/>
      <c r="AA34" s="155"/>
    </row>
    <row r="35">
      <c r="A35" s="111">
        <v>34.0</v>
      </c>
      <c r="B35" s="125" t="s">
        <v>101</v>
      </c>
      <c r="C35" s="90" t="s">
        <v>343</v>
      </c>
      <c r="D35" s="125"/>
      <c r="E35" s="62" t="s">
        <v>208</v>
      </c>
      <c r="F35" s="62" t="s">
        <v>263</v>
      </c>
      <c r="G35" s="115" t="s">
        <v>264</v>
      </c>
      <c r="H35" s="125">
        <v>2021.0</v>
      </c>
      <c r="I35" s="115">
        <v>2025.0</v>
      </c>
      <c r="J35" s="115" t="s">
        <v>351</v>
      </c>
      <c r="K35" s="137">
        <v>-0.15</v>
      </c>
      <c r="L35" s="154" t="s">
        <v>352</v>
      </c>
      <c r="M35" s="128">
        <v>2021.0</v>
      </c>
      <c r="N35" s="154" t="s">
        <v>345</v>
      </c>
      <c r="O35" s="115" t="s">
        <v>346</v>
      </c>
      <c r="P35" s="132">
        <v>2017.0</v>
      </c>
      <c r="Q35" s="155"/>
      <c r="R35" s="115"/>
      <c r="S35" s="154"/>
      <c r="T35" s="154"/>
      <c r="U35" s="155"/>
      <c r="V35" s="158"/>
      <c r="W35" s="155"/>
      <c r="X35" s="133"/>
      <c r="Y35" s="155"/>
      <c r="Z35" s="154"/>
      <c r="AA35" s="155"/>
    </row>
    <row r="36">
      <c r="A36" s="111">
        <v>35.0</v>
      </c>
      <c r="B36" s="125" t="s">
        <v>101</v>
      </c>
      <c r="C36" s="90" t="s">
        <v>343</v>
      </c>
      <c r="D36" s="125"/>
      <c r="E36" s="62" t="s">
        <v>208</v>
      </c>
      <c r="F36" s="62" t="s">
        <v>263</v>
      </c>
      <c r="G36" s="115" t="s">
        <v>264</v>
      </c>
      <c r="H36" s="125">
        <v>2024.0</v>
      </c>
      <c r="I36" s="115">
        <v>2025.0</v>
      </c>
      <c r="J36" s="115" t="s">
        <v>353</v>
      </c>
      <c r="K36" s="157">
        <f>R36*(1-0.09)</f>
        <v>5.8695</v>
      </c>
      <c r="L36" s="154" t="s">
        <v>354</v>
      </c>
      <c r="M36" s="128">
        <v>2024.0</v>
      </c>
      <c r="N36" s="156" t="s">
        <v>339</v>
      </c>
      <c r="O36" s="155"/>
      <c r="P36" s="132">
        <v>2022.0</v>
      </c>
      <c r="Q36" s="155"/>
      <c r="R36" s="115">
        <v>6.45</v>
      </c>
      <c r="S36" s="154" t="s">
        <v>354</v>
      </c>
      <c r="T36" s="156" t="s">
        <v>339</v>
      </c>
      <c r="U36" s="155"/>
      <c r="V36" s="158">
        <v>2024.0</v>
      </c>
      <c r="W36" s="155"/>
      <c r="X36" s="133">
        <v>6.11</v>
      </c>
      <c r="Y36" s="155"/>
      <c r="Z36" s="156" t="s">
        <v>339</v>
      </c>
      <c r="AA36" s="155"/>
    </row>
    <row r="37">
      <c r="A37" s="111">
        <v>36.0</v>
      </c>
      <c r="B37" s="115" t="s">
        <v>101</v>
      </c>
      <c r="C37" s="62" t="s">
        <v>343</v>
      </c>
      <c r="D37" s="115"/>
      <c r="E37" s="62" t="s">
        <v>208</v>
      </c>
      <c r="F37" s="62" t="s">
        <v>209</v>
      </c>
      <c r="G37" s="134"/>
      <c r="H37" s="115">
        <v>2024.0</v>
      </c>
      <c r="I37" s="115">
        <v>2025.0</v>
      </c>
      <c r="J37" s="115" t="s">
        <v>355</v>
      </c>
      <c r="K37" s="137">
        <v>0.9</v>
      </c>
      <c r="L37" s="154" t="s">
        <v>356</v>
      </c>
      <c r="M37" s="128">
        <v>2024.0</v>
      </c>
      <c r="N37" s="156" t="s">
        <v>339</v>
      </c>
      <c r="O37" s="115" t="s">
        <v>357</v>
      </c>
      <c r="P37" s="132"/>
      <c r="Q37" s="155"/>
      <c r="R37" s="115"/>
      <c r="S37" s="154" t="s">
        <v>356</v>
      </c>
      <c r="T37" s="156" t="s">
        <v>339</v>
      </c>
      <c r="U37" s="155"/>
      <c r="V37" s="132">
        <v>2024.0</v>
      </c>
      <c r="W37" s="155"/>
      <c r="X37" s="138">
        <v>0.85</v>
      </c>
      <c r="Y37" s="155"/>
      <c r="Z37" s="156" t="s">
        <v>339</v>
      </c>
      <c r="AA37" s="155"/>
    </row>
    <row r="38">
      <c r="A38" s="111">
        <v>37.0</v>
      </c>
      <c r="B38" s="115" t="s">
        <v>101</v>
      </c>
      <c r="C38" s="62" t="s">
        <v>343</v>
      </c>
      <c r="D38" s="115"/>
      <c r="E38" s="62" t="s">
        <v>208</v>
      </c>
      <c r="F38" s="62" t="s">
        <v>209</v>
      </c>
      <c r="G38" s="134"/>
      <c r="H38" s="115">
        <v>2021.0</v>
      </c>
      <c r="I38" s="115">
        <v>2025.0</v>
      </c>
      <c r="J38" s="115" t="s">
        <v>358</v>
      </c>
      <c r="K38" s="137">
        <v>0.8</v>
      </c>
      <c r="L38" s="154" t="s">
        <v>359</v>
      </c>
      <c r="M38" s="128">
        <v>2021.0</v>
      </c>
      <c r="N38" s="154" t="s">
        <v>345</v>
      </c>
      <c r="O38" s="115" t="s">
        <v>346</v>
      </c>
      <c r="P38" s="132"/>
      <c r="Q38" s="155"/>
      <c r="R38" s="115"/>
      <c r="S38" s="154" t="s">
        <v>359</v>
      </c>
      <c r="T38" s="156" t="s">
        <v>339</v>
      </c>
      <c r="U38" s="155"/>
      <c r="V38" s="132">
        <v>2024.0</v>
      </c>
      <c r="W38" s="155"/>
      <c r="X38" s="138">
        <v>0.73</v>
      </c>
      <c r="Y38" s="155"/>
      <c r="Z38" s="156" t="s">
        <v>339</v>
      </c>
      <c r="AA38" s="155"/>
    </row>
    <row r="39">
      <c r="A39" s="111">
        <v>38.0</v>
      </c>
      <c r="B39" s="115" t="s">
        <v>101</v>
      </c>
      <c r="C39" s="62" t="s">
        <v>343</v>
      </c>
      <c r="D39" s="115"/>
      <c r="E39" s="62" t="s">
        <v>208</v>
      </c>
      <c r="F39" s="62" t="s">
        <v>267</v>
      </c>
      <c r="G39" s="134"/>
      <c r="H39" s="115">
        <v>2021.0</v>
      </c>
      <c r="I39" s="115">
        <v>2025.0</v>
      </c>
      <c r="J39" s="115" t="s">
        <v>360</v>
      </c>
      <c r="K39" s="137">
        <v>-0.4</v>
      </c>
      <c r="L39" s="154" t="s">
        <v>361</v>
      </c>
      <c r="M39" s="128">
        <v>2021.0</v>
      </c>
      <c r="N39" s="154" t="s">
        <v>345</v>
      </c>
      <c r="O39" s="115" t="s">
        <v>346</v>
      </c>
      <c r="P39" s="132">
        <v>2017.0</v>
      </c>
      <c r="Q39" s="155"/>
      <c r="R39" s="115">
        <v>0.0157</v>
      </c>
      <c r="S39" s="124" t="s">
        <v>362</v>
      </c>
      <c r="T39" s="156" t="s">
        <v>339</v>
      </c>
      <c r="U39" s="155"/>
      <c r="V39" s="132">
        <v>2024.0</v>
      </c>
      <c r="W39" s="154" t="s">
        <v>363</v>
      </c>
      <c r="X39" s="138">
        <v>0.34</v>
      </c>
      <c r="Y39" s="154" t="s">
        <v>363</v>
      </c>
      <c r="Z39" s="156" t="s">
        <v>339</v>
      </c>
      <c r="AA39" s="155"/>
    </row>
    <row r="40">
      <c r="A40" s="111">
        <v>39.0</v>
      </c>
      <c r="B40" s="159" t="s">
        <v>101</v>
      </c>
      <c r="C40" s="160" t="s">
        <v>343</v>
      </c>
      <c r="D40" s="115"/>
      <c r="E40" s="62" t="s">
        <v>231</v>
      </c>
      <c r="F40" s="62" t="s">
        <v>244</v>
      </c>
      <c r="G40" s="134"/>
      <c r="H40" s="115">
        <v>2024.0</v>
      </c>
      <c r="I40" s="161">
        <v>2025.0</v>
      </c>
      <c r="J40" s="161" t="s">
        <v>364</v>
      </c>
      <c r="K40" s="162">
        <v>0.98</v>
      </c>
      <c r="L40" s="161" t="s">
        <v>364</v>
      </c>
      <c r="M40" s="163">
        <v>2024.0</v>
      </c>
      <c r="N40" s="164" t="s">
        <v>339</v>
      </c>
      <c r="O40" s="165" t="s">
        <v>342</v>
      </c>
      <c r="P40" s="166"/>
      <c r="Q40" s="167"/>
      <c r="R40" s="161"/>
      <c r="S40" s="168"/>
      <c r="T40" s="168"/>
      <c r="U40" s="169"/>
      <c r="V40" s="166"/>
      <c r="W40" s="168"/>
      <c r="X40" s="170"/>
      <c r="Y40" s="168"/>
      <c r="Z40" s="168"/>
      <c r="AA40" s="171"/>
    </row>
    <row r="41">
      <c r="A41" s="111">
        <v>40.0</v>
      </c>
      <c r="B41" s="172" t="s">
        <v>101</v>
      </c>
      <c r="C41" s="173" t="s">
        <v>343</v>
      </c>
      <c r="D41" s="115"/>
      <c r="E41" s="62" t="s">
        <v>231</v>
      </c>
      <c r="F41" s="62" t="s">
        <v>220</v>
      </c>
      <c r="G41" s="134"/>
      <c r="H41" s="115">
        <v>2021.0</v>
      </c>
      <c r="I41" s="174">
        <v>2025.0</v>
      </c>
      <c r="J41" s="174" t="s">
        <v>365</v>
      </c>
      <c r="K41" s="175">
        <v>0.9</v>
      </c>
      <c r="L41" s="174" t="s">
        <v>365</v>
      </c>
      <c r="M41" s="128">
        <v>2021.0</v>
      </c>
      <c r="N41" s="154" t="s">
        <v>345</v>
      </c>
      <c r="O41" s="115" t="s">
        <v>346</v>
      </c>
      <c r="P41" s="176"/>
      <c r="Q41" s="177"/>
      <c r="R41" s="174"/>
      <c r="S41" s="178"/>
      <c r="T41" s="178"/>
      <c r="U41" s="179"/>
      <c r="V41" s="176">
        <v>2023.0</v>
      </c>
      <c r="W41" s="178"/>
      <c r="X41" s="180" t="s">
        <v>366</v>
      </c>
      <c r="Y41" s="178"/>
      <c r="Z41" s="181" t="s">
        <v>339</v>
      </c>
      <c r="AA41" s="182" t="s">
        <v>367</v>
      </c>
    </row>
    <row r="42">
      <c r="A42" s="111">
        <v>41.0</v>
      </c>
      <c r="B42" s="183" t="s">
        <v>101</v>
      </c>
      <c r="C42" s="184" t="s">
        <v>343</v>
      </c>
      <c r="D42" s="125"/>
      <c r="E42" s="90" t="s">
        <v>208</v>
      </c>
      <c r="F42" s="62" t="s">
        <v>263</v>
      </c>
      <c r="G42" s="115" t="s">
        <v>264</v>
      </c>
      <c r="H42" s="115">
        <v>2021.0</v>
      </c>
      <c r="I42" s="185">
        <v>2030.0</v>
      </c>
      <c r="J42" s="125" t="s">
        <v>368</v>
      </c>
      <c r="K42" s="186">
        <v>-0.3</v>
      </c>
      <c r="L42" s="154" t="s">
        <v>352</v>
      </c>
      <c r="M42" s="128">
        <v>2021.0</v>
      </c>
      <c r="N42" s="154" t="s">
        <v>345</v>
      </c>
      <c r="O42" s="115" t="s">
        <v>346</v>
      </c>
      <c r="P42" s="158">
        <v>2017.0</v>
      </c>
      <c r="R42" s="125"/>
      <c r="S42" s="154"/>
      <c r="T42" s="154"/>
      <c r="V42" s="158"/>
      <c r="X42" s="187"/>
      <c r="Z42" s="154"/>
      <c r="AA42" s="188"/>
    </row>
    <row r="43">
      <c r="A43" s="111">
        <v>42.0</v>
      </c>
      <c r="B43" s="183" t="s">
        <v>101</v>
      </c>
      <c r="C43" s="184" t="s">
        <v>343</v>
      </c>
      <c r="D43" s="125"/>
      <c r="E43" s="90" t="s">
        <v>208</v>
      </c>
      <c r="F43" s="62" t="s">
        <v>263</v>
      </c>
      <c r="G43" s="115" t="s">
        <v>280</v>
      </c>
      <c r="H43" s="185">
        <v>2024.0</v>
      </c>
      <c r="I43" s="185">
        <v>2030.0</v>
      </c>
      <c r="J43" s="185" t="s">
        <v>369</v>
      </c>
      <c r="K43" s="189">
        <f>R43*(1-0.7)</f>
        <v>49244.7</v>
      </c>
      <c r="L43" s="190" t="s">
        <v>370</v>
      </c>
      <c r="M43" s="163">
        <v>2024.0</v>
      </c>
      <c r="N43" s="164" t="s">
        <v>339</v>
      </c>
      <c r="O43" s="191" t="s">
        <v>371</v>
      </c>
      <c r="P43" s="192">
        <v>2022.0</v>
      </c>
      <c r="Q43" s="193"/>
      <c r="R43" s="185">
        <v>164149.0</v>
      </c>
      <c r="S43" s="190" t="s">
        <v>370</v>
      </c>
      <c r="T43" s="164" t="s">
        <v>339</v>
      </c>
      <c r="U43" s="194"/>
      <c r="V43" s="192">
        <v>2024.0</v>
      </c>
      <c r="W43" s="193"/>
      <c r="X43" s="195">
        <v>135814.0</v>
      </c>
      <c r="Y43" s="193"/>
      <c r="Z43" s="164" t="s">
        <v>339</v>
      </c>
      <c r="AA43" s="196"/>
    </row>
    <row r="44">
      <c r="A44" s="111">
        <v>43.0</v>
      </c>
      <c r="B44" s="197" t="s">
        <v>101</v>
      </c>
      <c r="C44" s="198" t="s">
        <v>343</v>
      </c>
      <c r="D44" s="125"/>
      <c r="E44" s="62" t="s">
        <v>208</v>
      </c>
      <c r="F44" s="62" t="s">
        <v>263</v>
      </c>
      <c r="G44" s="115" t="s">
        <v>280</v>
      </c>
      <c r="H44" s="199">
        <v>2024.0</v>
      </c>
      <c r="I44" s="200">
        <v>2030.0</v>
      </c>
      <c r="J44" s="200" t="s">
        <v>372</v>
      </c>
      <c r="K44" s="201">
        <f>R44*(1-0.42)</f>
        <v>3815396.6</v>
      </c>
      <c r="L44" s="202" t="s">
        <v>370</v>
      </c>
      <c r="M44" s="203">
        <v>2024.0</v>
      </c>
      <c r="N44" s="204" t="s">
        <v>339</v>
      </c>
      <c r="O44" s="205"/>
      <c r="P44" s="206">
        <v>2022.0</v>
      </c>
      <c r="Q44" s="207"/>
      <c r="R44" s="200">
        <v>6578270.0</v>
      </c>
      <c r="S44" s="202" t="s">
        <v>370</v>
      </c>
      <c r="T44" s="204" t="s">
        <v>339</v>
      </c>
      <c r="U44" s="205"/>
      <c r="V44" s="208">
        <v>2024.0</v>
      </c>
      <c r="W44" s="207"/>
      <c r="X44" s="209">
        <v>5248523.0</v>
      </c>
      <c r="Y44" s="207"/>
      <c r="Z44" s="204" t="s">
        <v>339</v>
      </c>
      <c r="AA44" s="210"/>
    </row>
    <row r="45">
      <c r="A45" s="111">
        <v>44.0</v>
      </c>
      <c r="B45" s="115" t="s">
        <v>101</v>
      </c>
      <c r="C45" s="62" t="s">
        <v>343</v>
      </c>
      <c r="D45" s="115"/>
      <c r="E45" s="62" t="s">
        <v>208</v>
      </c>
      <c r="F45" s="62" t="s">
        <v>373</v>
      </c>
      <c r="G45" s="134" t="s">
        <v>374</v>
      </c>
      <c r="H45" s="115">
        <v>2024.0</v>
      </c>
      <c r="I45" s="115">
        <v>2030.0</v>
      </c>
      <c r="J45" s="115" t="s">
        <v>375</v>
      </c>
      <c r="K45" s="115"/>
      <c r="L45" s="115"/>
      <c r="M45" s="128">
        <v>2024.0</v>
      </c>
      <c r="N45" s="156" t="s">
        <v>339</v>
      </c>
      <c r="O45" s="115" t="s">
        <v>376</v>
      </c>
      <c r="P45" s="132"/>
      <c r="Q45" s="155"/>
      <c r="R45" s="115"/>
      <c r="S45" s="124"/>
      <c r="T45" s="124"/>
      <c r="U45" s="155"/>
      <c r="V45" s="132"/>
      <c r="W45" s="124"/>
      <c r="X45" s="138"/>
      <c r="Y45" s="124"/>
      <c r="Z45" s="124"/>
      <c r="AA45" s="155"/>
    </row>
    <row r="46">
      <c r="A46" s="111">
        <v>45.0</v>
      </c>
      <c r="B46" s="115" t="s">
        <v>101</v>
      </c>
      <c r="C46" s="62" t="s">
        <v>343</v>
      </c>
      <c r="D46" s="115"/>
      <c r="E46" s="62" t="s">
        <v>208</v>
      </c>
      <c r="F46" s="62" t="s">
        <v>220</v>
      </c>
      <c r="G46" s="134"/>
      <c r="H46" s="115">
        <v>2024.0</v>
      </c>
      <c r="I46" s="115">
        <v>2030.0</v>
      </c>
      <c r="J46" s="115" t="s">
        <v>377</v>
      </c>
      <c r="K46" s="137">
        <v>0.1</v>
      </c>
      <c r="L46" s="115" t="s">
        <v>377</v>
      </c>
      <c r="M46" s="128">
        <v>2024.0</v>
      </c>
      <c r="N46" s="156" t="s">
        <v>339</v>
      </c>
      <c r="O46" s="115" t="s">
        <v>378</v>
      </c>
      <c r="P46" s="132"/>
      <c r="Q46" s="155"/>
      <c r="R46" s="115"/>
      <c r="S46" s="124"/>
      <c r="T46" s="124"/>
      <c r="U46" s="155"/>
      <c r="V46" s="132"/>
      <c r="W46" s="124"/>
      <c r="X46" s="138"/>
      <c r="Y46" s="124"/>
      <c r="Z46" s="124"/>
      <c r="AA46" s="155"/>
    </row>
    <row r="47">
      <c r="A47" s="111">
        <v>46.0</v>
      </c>
      <c r="B47" s="125" t="s">
        <v>101</v>
      </c>
      <c r="C47" s="90" t="s">
        <v>343</v>
      </c>
      <c r="D47" s="125"/>
      <c r="E47" s="62" t="s">
        <v>208</v>
      </c>
      <c r="F47" s="62" t="s">
        <v>263</v>
      </c>
      <c r="G47" s="115" t="s">
        <v>379</v>
      </c>
      <c r="H47" s="125">
        <v>2024.0</v>
      </c>
      <c r="I47" s="115">
        <v>2050.0</v>
      </c>
      <c r="J47" s="115" t="s">
        <v>380</v>
      </c>
      <c r="K47" s="211">
        <v>0.0</v>
      </c>
      <c r="L47" s="154" t="s">
        <v>370</v>
      </c>
      <c r="M47" s="128">
        <v>2024.0</v>
      </c>
      <c r="N47" s="156" t="s">
        <v>339</v>
      </c>
      <c r="O47" s="115" t="s">
        <v>381</v>
      </c>
      <c r="P47" s="132">
        <v>2022.0</v>
      </c>
      <c r="Q47" s="155"/>
      <c r="R47" s="115">
        <v>6742419.0</v>
      </c>
      <c r="S47" s="154" t="s">
        <v>370</v>
      </c>
      <c r="T47" s="156" t="s">
        <v>339</v>
      </c>
      <c r="U47" s="155"/>
      <c r="V47" s="158">
        <v>2024.0</v>
      </c>
      <c r="W47" s="155"/>
      <c r="X47" s="212">
        <v>5384337.0</v>
      </c>
      <c r="Y47" s="155"/>
      <c r="Z47" s="156" t="s">
        <v>339</v>
      </c>
      <c r="AA47" s="155"/>
    </row>
    <row r="48">
      <c r="A48" s="111">
        <v>47.0</v>
      </c>
      <c r="B48" s="125" t="s">
        <v>101</v>
      </c>
      <c r="C48" s="90" t="s">
        <v>343</v>
      </c>
      <c r="D48" s="125"/>
      <c r="E48" s="62" t="s">
        <v>208</v>
      </c>
      <c r="F48" s="62" t="s">
        <v>263</v>
      </c>
      <c r="G48" s="115" t="s">
        <v>379</v>
      </c>
      <c r="H48" s="125">
        <v>2024.0</v>
      </c>
      <c r="I48" s="115">
        <v>2050.0</v>
      </c>
      <c r="J48" s="115" t="s">
        <v>382</v>
      </c>
      <c r="K48" s="211">
        <f>R48*(1-0.9)</f>
        <v>674241.9</v>
      </c>
      <c r="L48" s="154" t="s">
        <v>370</v>
      </c>
      <c r="M48" s="128">
        <v>2024.0</v>
      </c>
      <c r="N48" s="156" t="s">
        <v>339</v>
      </c>
      <c r="O48" s="115" t="s">
        <v>381</v>
      </c>
      <c r="P48" s="132">
        <v>2022.0</v>
      </c>
      <c r="Q48" s="155"/>
      <c r="R48" s="115">
        <v>6742419.0</v>
      </c>
      <c r="S48" s="154" t="s">
        <v>370</v>
      </c>
      <c r="T48" s="156" t="s">
        <v>339</v>
      </c>
      <c r="U48" s="155"/>
      <c r="V48" s="158">
        <v>2024.0</v>
      </c>
      <c r="W48" s="155"/>
      <c r="X48" s="212">
        <v>5384337.0</v>
      </c>
      <c r="Y48" s="155"/>
      <c r="Z48" s="156" t="s">
        <v>339</v>
      </c>
      <c r="AA48" s="155"/>
    </row>
    <row r="49">
      <c r="A49" s="111">
        <v>49.0</v>
      </c>
      <c r="B49" s="115" t="s">
        <v>132</v>
      </c>
      <c r="C49" s="62" t="s">
        <v>207</v>
      </c>
      <c r="D49" s="115"/>
      <c r="E49" s="62" t="s">
        <v>383</v>
      </c>
      <c r="F49" s="62" t="s">
        <v>209</v>
      </c>
      <c r="G49" s="115" t="s">
        <v>221</v>
      </c>
      <c r="H49" s="115">
        <v>2001.0</v>
      </c>
      <c r="I49" s="115">
        <v>2002.0</v>
      </c>
      <c r="J49" s="115" t="s">
        <v>384</v>
      </c>
      <c r="K49" s="115"/>
      <c r="L49" s="115"/>
      <c r="M49" s="128">
        <v>2002.0</v>
      </c>
      <c r="N49" s="124" t="s">
        <v>385</v>
      </c>
      <c r="O49" s="115" t="s">
        <v>386</v>
      </c>
      <c r="P49" s="132"/>
      <c r="Q49" s="155"/>
      <c r="R49" s="115"/>
      <c r="S49" s="124"/>
      <c r="T49" s="124"/>
      <c r="U49" s="155"/>
      <c r="V49" s="132"/>
      <c r="W49" s="124"/>
      <c r="X49" s="138"/>
      <c r="Y49" s="124"/>
      <c r="Z49" s="124"/>
      <c r="AA49" s="155"/>
    </row>
    <row r="50">
      <c r="A50" s="111">
        <v>50.0</v>
      </c>
      <c r="B50" s="115" t="s">
        <v>132</v>
      </c>
      <c r="C50" s="62" t="s">
        <v>219</v>
      </c>
      <c r="D50" s="115"/>
      <c r="E50" s="62" t="s">
        <v>231</v>
      </c>
      <c r="F50" s="62" t="s">
        <v>387</v>
      </c>
      <c r="G50" s="134"/>
      <c r="H50" s="115">
        <v>2001.0</v>
      </c>
      <c r="I50" s="115">
        <v>2002.0</v>
      </c>
      <c r="J50" s="115" t="s">
        <v>388</v>
      </c>
      <c r="K50" s="137">
        <v>0.85</v>
      </c>
      <c r="L50" s="115"/>
      <c r="M50" s="128">
        <v>2002.0</v>
      </c>
      <c r="N50" s="124" t="s">
        <v>385</v>
      </c>
      <c r="O50" s="115" t="s">
        <v>389</v>
      </c>
      <c r="P50" s="132"/>
      <c r="Q50" s="155"/>
      <c r="R50" s="115"/>
      <c r="S50" s="124"/>
      <c r="T50" s="124"/>
      <c r="U50" s="155"/>
      <c r="V50" s="132">
        <v>2002.0</v>
      </c>
      <c r="W50" s="115" t="s">
        <v>390</v>
      </c>
      <c r="X50" s="138">
        <v>0.69</v>
      </c>
      <c r="Y50" s="115" t="s">
        <v>390</v>
      </c>
      <c r="Z50" s="124" t="s">
        <v>385</v>
      </c>
      <c r="AA50" s="115" t="s">
        <v>389</v>
      </c>
    </row>
    <row r="51">
      <c r="A51" s="111">
        <v>51.0</v>
      </c>
      <c r="B51" s="115" t="s">
        <v>132</v>
      </c>
      <c r="C51" s="62" t="s">
        <v>207</v>
      </c>
      <c r="D51" s="115"/>
      <c r="E51" s="62" t="s">
        <v>208</v>
      </c>
      <c r="F51" s="62" t="s">
        <v>209</v>
      </c>
      <c r="G51" s="115" t="s">
        <v>221</v>
      </c>
      <c r="H51" s="115">
        <v>2002.0</v>
      </c>
      <c r="I51" s="115">
        <v>2003.0</v>
      </c>
      <c r="J51" s="115" t="s">
        <v>391</v>
      </c>
      <c r="K51" s="115"/>
      <c r="L51" s="115"/>
      <c r="M51" s="128">
        <v>2002.0</v>
      </c>
      <c r="N51" s="124" t="s">
        <v>385</v>
      </c>
      <c r="O51" s="115" t="s">
        <v>392</v>
      </c>
      <c r="P51" s="132"/>
      <c r="Q51" s="155"/>
      <c r="R51" s="115"/>
      <c r="S51" s="124"/>
      <c r="T51" s="124"/>
      <c r="U51" s="155"/>
      <c r="V51" s="132">
        <v>2003.0</v>
      </c>
      <c r="W51" s="124" t="s">
        <v>393</v>
      </c>
      <c r="X51" s="138"/>
      <c r="Y51" s="124" t="s">
        <v>393</v>
      </c>
      <c r="Z51" s="124" t="s">
        <v>394</v>
      </c>
      <c r="AA51" s="115" t="s">
        <v>392</v>
      </c>
    </row>
    <row r="52">
      <c r="A52" s="111">
        <v>52.0</v>
      </c>
      <c r="B52" s="115" t="s">
        <v>132</v>
      </c>
      <c r="C52" s="62" t="s">
        <v>207</v>
      </c>
      <c r="D52" s="115"/>
      <c r="E52" s="62" t="s">
        <v>231</v>
      </c>
      <c r="F52" s="62" t="s">
        <v>387</v>
      </c>
      <c r="G52" s="134"/>
      <c r="H52" s="115">
        <v>2003.0</v>
      </c>
      <c r="I52" s="115">
        <v>2004.0</v>
      </c>
      <c r="J52" s="115" t="s">
        <v>395</v>
      </c>
      <c r="K52" s="137">
        <v>0.75</v>
      </c>
      <c r="L52" s="115"/>
      <c r="M52" s="128">
        <v>2003.0</v>
      </c>
      <c r="N52" s="124" t="s">
        <v>394</v>
      </c>
      <c r="O52" s="115" t="s">
        <v>396</v>
      </c>
      <c r="P52" s="132"/>
      <c r="Q52" s="155"/>
      <c r="R52" s="115"/>
      <c r="S52" s="124"/>
      <c r="T52" s="124"/>
      <c r="U52" s="155"/>
      <c r="V52" s="132"/>
      <c r="W52" s="115"/>
      <c r="X52" s="138">
        <v>0.812</v>
      </c>
      <c r="Y52" s="115"/>
      <c r="Z52" s="124" t="s">
        <v>397</v>
      </c>
      <c r="AA52" s="115" t="s">
        <v>398</v>
      </c>
    </row>
    <row r="53">
      <c r="A53" s="111">
        <v>53.0</v>
      </c>
      <c r="B53" s="115" t="s">
        <v>132</v>
      </c>
      <c r="C53" s="62" t="s">
        <v>207</v>
      </c>
      <c r="D53" s="115"/>
      <c r="E53" s="62" t="s">
        <v>231</v>
      </c>
      <c r="F53" s="62" t="s">
        <v>220</v>
      </c>
      <c r="G53" s="115" t="s">
        <v>251</v>
      </c>
      <c r="H53" s="115">
        <v>2003.0</v>
      </c>
      <c r="I53" s="115">
        <v>2004.0</v>
      </c>
      <c r="J53" s="115" t="s">
        <v>399</v>
      </c>
      <c r="K53" s="137">
        <v>0.05</v>
      </c>
      <c r="L53" s="115" t="s">
        <v>400</v>
      </c>
      <c r="M53" s="128">
        <v>2003.0</v>
      </c>
      <c r="N53" s="124" t="s">
        <v>394</v>
      </c>
      <c r="O53" s="115" t="s">
        <v>401</v>
      </c>
      <c r="P53" s="132"/>
      <c r="Q53" s="155"/>
      <c r="R53" s="115"/>
      <c r="S53" s="124"/>
      <c r="T53" s="124"/>
      <c r="U53" s="155"/>
      <c r="V53" s="132">
        <v>2004.0</v>
      </c>
      <c r="W53" s="115" t="s">
        <v>402</v>
      </c>
      <c r="X53" s="138">
        <v>0.05</v>
      </c>
      <c r="Y53" s="115" t="s">
        <v>402</v>
      </c>
      <c r="Z53" s="124" t="s">
        <v>397</v>
      </c>
      <c r="AA53" s="115" t="s">
        <v>403</v>
      </c>
    </row>
    <row r="54">
      <c r="A54" s="111">
        <v>54.0</v>
      </c>
      <c r="B54" s="115" t="s">
        <v>132</v>
      </c>
      <c r="C54" s="62" t="s">
        <v>207</v>
      </c>
      <c r="D54" s="115"/>
      <c r="E54" s="62" t="s">
        <v>208</v>
      </c>
      <c r="F54" s="62" t="s">
        <v>220</v>
      </c>
      <c r="G54" s="115" t="s">
        <v>251</v>
      </c>
      <c r="H54" s="115">
        <v>2004.0</v>
      </c>
      <c r="I54" s="115">
        <v>2005.0</v>
      </c>
      <c r="J54" s="115" t="s">
        <v>404</v>
      </c>
      <c r="K54" s="115">
        <v>20.0</v>
      </c>
      <c r="L54" s="115" t="s">
        <v>405</v>
      </c>
      <c r="M54" s="128">
        <v>2004.0</v>
      </c>
      <c r="N54" s="124" t="s">
        <v>397</v>
      </c>
      <c r="O54" s="115" t="s">
        <v>403</v>
      </c>
      <c r="P54" s="213"/>
      <c r="Q54" s="155"/>
      <c r="R54" s="115"/>
      <c r="S54" s="124"/>
      <c r="T54" s="124"/>
      <c r="U54" s="155"/>
      <c r="V54" s="132">
        <v>2005.0</v>
      </c>
      <c r="W54" s="115" t="s">
        <v>406</v>
      </c>
      <c r="X54" s="133" t="s">
        <v>407</v>
      </c>
      <c r="Y54" s="115" t="s">
        <v>406</v>
      </c>
      <c r="Z54" s="124" t="s">
        <v>408</v>
      </c>
      <c r="AA54" s="115" t="s">
        <v>409</v>
      </c>
    </row>
    <row r="55">
      <c r="A55" s="111">
        <v>55.0</v>
      </c>
      <c r="B55" s="115" t="s">
        <v>132</v>
      </c>
      <c r="C55" s="62" t="s">
        <v>219</v>
      </c>
      <c r="D55" s="115"/>
      <c r="E55" s="62" t="s">
        <v>231</v>
      </c>
      <c r="F55" s="62" t="s">
        <v>220</v>
      </c>
      <c r="G55" s="134"/>
      <c r="H55" s="115">
        <v>2005.0</v>
      </c>
      <c r="I55" s="115">
        <v>2006.0</v>
      </c>
      <c r="J55" s="115" t="s">
        <v>410</v>
      </c>
      <c r="K55" s="137"/>
      <c r="L55" s="115"/>
      <c r="M55" s="128">
        <v>2006.0</v>
      </c>
      <c r="N55" s="124" t="s">
        <v>411</v>
      </c>
      <c r="O55" s="115" t="s">
        <v>412</v>
      </c>
      <c r="P55" s="132"/>
      <c r="Q55" s="115"/>
      <c r="R55" s="115"/>
      <c r="S55" s="115"/>
      <c r="T55" s="124"/>
      <c r="U55" s="115"/>
      <c r="V55" s="132"/>
      <c r="W55" s="115"/>
      <c r="X55" s="138"/>
      <c r="Y55" s="115"/>
      <c r="Z55" s="124"/>
      <c r="AA55" s="155"/>
    </row>
    <row r="56">
      <c r="A56" s="111">
        <v>56.0</v>
      </c>
      <c r="B56" s="115" t="s">
        <v>132</v>
      </c>
      <c r="C56" s="62" t="s">
        <v>219</v>
      </c>
      <c r="D56" s="115"/>
      <c r="E56" s="62" t="s">
        <v>208</v>
      </c>
      <c r="F56" s="62" t="s">
        <v>220</v>
      </c>
      <c r="G56" s="115" t="s">
        <v>251</v>
      </c>
      <c r="H56" s="115">
        <v>2006.0</v>
      </c>
      <c r="I56" s="115">
        <v>2007.0</v>
      </c>
      <c r="J56" s="115" t="s">
        <v>413</v>
      </c>
      <c r="K56" s="115">
        <v>100.0</v>
      </c>
      <c r="L56" s="115" t="s">
        <v>414</v>
      </c>
      <c r="M56" s="128">
        <v>2006.0</v>
      </c>
      <c r="N56" s="124" t="s">
        <v>411</v>
      </c>
      <c r="O56" s="115" t="s">
        <v>415</v>
      </c>
      <c r="P56" s="132"/>
      <c r="Q56" s="115"/>
      <c r="R56" s="115"/>
      <c r="S56" s="115"/>
      <c r="T56" s="124"/>
      <c r="U56" s="115"/>
      <c r="V56" s="132">
        <v>2007.0</v>
      </c>
      <c r="W56" s="115" t="s">
        <v>414</v>
      </c>
      <c r="X56" s="133">
        <v>78.0</v>
      </c>
      <c r="Y56" s="115" t="s">
        <v>414</v>
      </c>
      <c r="Z56" s="124" t="s">
        <v>416</v>
      </c>
      <c r="AA56" s="115" t="s">
        <v>417</v>
      </c>
    </row>
    <row r="57">
      <c r="A57" s="111">
        <v>57.0</v>
      </c>
      <c r="B57" s="115" t="s">
        <v>132</v>
      </c>
      <c r="C57" s="62" t="s">
        <v>207</v>
      </c>
      <c r="D57" s="115"/>
      <c r="E57" s="62" t="s">
        <v>231</v>
      </c>
      <c r="F57" s="62" t="s">
        <v>220</v>
      </c>
      <c r="G57" s="115" t="s">
        <v>251</v>
      </c>
      <c r="H57" s="115">
        <v>2006.0</v>
      </c>
      <c r="I57" s="115">
        <v>2007.0</v>
      </c>
      <c r="J57" s="115" t="s">
        <v>418</v>
      </c>
      <c r="K57" s="115"/>
      <c r="L57" s="115"/>
      <c r="M57" s="128">
        <v>2006.0</v>
      </c>
      <c r="N57" s="124" t="s">
        <v>411</v>
      </c>
      <c r="O57" s="115" t="s">
        <v>415</v>
      </c>
      <c r="P57" s="132"/>
      <c r="Q57" s="115"/>
      <c r="R57" s="115"/>
      <c r="S57" s="115"/>
      <c r="T57" s="124"/>
      <c r="U57" s="115"/>
      <c r="V57" s="132"/>
      <c r="W57" s="115"/>
      <c r="X57" s="138"/>
      <c r="Y57" s="115"/>
      <c r="Z57" s="124" t="s">
        <v>416</v>
      </c>
      <c r="AA57" s="115" t="s">
        <v>419</v>
      </c>
    </row>
    <row r="58">
      <c r="A58" s="111">
        <v>58.0</v>
      </c>
      <c r="B58" s="115" t="s">
        <v>132</v>
      </c>
      <c r="C58" s="62" t="s">
        <v>219</v>
      </c>
      <c r="D58" s="115"/>
      <c r="E58" s="62" t="s">
        <v>208</v>
      </c>
      <c r="F58" s="62" t="s">
        <v>420</v>
      </c>
      <c r="G58" s="134"/>
      <c r="H58" s="115">
        <v>2006.0</v>
      </c>
      <c r="I58" s="115">
        <v>2007.0</v>
      </c>
      <c r="J58" s="115" t="s">
        <v>421</v>
      </c>
      <c r="K58" s="115">
        <v>1000000.0</v>
      </c>
      <c r="L58" s="115" t="s">
        <v>422</v>
      </c>
      <c r="M58" s="128">
        <v>2006.0</v>
      </c>
      <c r="N58" s="124" t="s">
        <v>411</v>
      </c>
      <c r="O58" s="115" t="s">
        <v>415</v>
      </c>
      <c r="P58" s="132"/>
      <c r="Q58" s="115"/>
      <c r="R58" s="115"/>
      <c r="S58" s="115"/>
      <c r="T58" s="124"/>
      <c r="U58" s="115"/>
      <c r="V58" s="132"/>
      <c r="W58" s="115" t="s">
        <v>422</v>
      </c>
      <c r="X58" s="133" t="s">
        <v>423</v>
      </c>
      <c r="Y58" s="115" t="s">
        <v>422</v>
      </c>
      <c r="Z58" s="125" t="s">
        <v>416</v>
      </c>
      <c r="AA58" s="115" t="s">
        <v>424</v>
      </c>
    </row>
    <row r="59">
      <c r="A59" s="111">
        <v>59.0</v>
      </c>
      <c r="B59" s="115" t="s">
        <v>132</v>
      </c>
      <c r="C59" s="62" t="s">
        <v>219</v>
      </c>
      <c r="D59" s="115"/>
      <c r="E59" s="62" t="s">
        <v>208</v>
      </c>
      <c r="F59" s="62" t="s">
        <v>220</v>
      </c>
      <c r="G59" s="115" t="s">
        <v>251</v>
      </c>
      <c r="H59" s="115">
        <v>2007.0</v>
      </c>
      <c r="I59" s="115">
        <v>2008.0</v>
      </c>
      <c r="J59" s="115" t="s">
        <v>425</v>
      </c>
      <c r="K59" s="115">
        <v>50.0</v>
      </c>
      <c r="L59" s="115" t="s">
        <v>426</v>
      </c>
      <c r="M59" s="128">
        <v>2008.0</v>
      </c>
      <c r="N59" s="124" t="s">
        <v>427</v>
      </c>
      <c r="O59" s="115" t="s">
        <v>428</v>
      </c>
      <c r="P59" s="132"/>
      <c r="Q59" s="115"/>
      <c r="R59" s="115"/>
      <c r="S59" s="115"/>
      <c r="T59" s="124"/>
      <c r="U59" s="115"/>
      <c r="V59" s="132"/>
      <c r="W59" s="115"/>
      <c r="X59" s="138"/>
      <c r="Y59" s="115"/>
      <c r="Z59" s="124" t="s">
        <v>427</v>
      </c>
      <c r="AA59" s="115" t="s">
        <v>429</v>
      </c>
    </row>
    <row r="60">
      <c r="A60" s="111">
        <v>60.0</v>
      </c>
      <c r="B60" s="115" t="s">
        <v>132</v>
      </c>
      <c r="C60" s="62" t="s">
        <v>207</v>
      </c>
      <c r="D60" s="115"/>
      <c r="E60" s="62" t="s">
        <v>208</v>
      </c>
      <c r="F60" s="62" t="s">
        <v>220</v>
      </c>
      <c r="G60" s="115" t="s">
        <v>251</v>
      </c>
      <c r="H60" s="115">
        <v>2007.0</v>
      </c>
      <c r="I60" s="115">
        <v>2008.0</v>
      </c>
      <c r="J60" s="115" t="s">
        <v>430</v>
      </c>
      <c r="K60" s="115"/>
      <c r="L60" s="115"/>
      <c r="M60" s="128">
        <v>2007.0</v>
      </c>
      <c r="N60" s="124" t="s">
        <v>416</v>
      </c>
      <c r="O60" s="115"/>
      <c r="P60" s="132">
        <v>2007.0</v>
      </c>
      <c r="Q60" s="155"/>
      <c r="R60" s="115">
        <v>1300.0</v>
      </c>
      <c r="S60" s="115" t="s">
        <v>406</v>
      </c>
      <c r="T60" s="124" t="s">
        <v>427</v>
      </c>
      <c r="U60" s="115" t="s">
        <v>431</v>
      </c>
      <c r="V60" s="132">
        <v>2007.0</v>
      </c>
      <c r="W60" s="115" t="s">
        <v>406</v>
      </c>
      <c r="X60" s="133">
        <v>3000.0</v>
      </c>
      <c r="Y60" s="115" t="s">
        <v>406</v>
      </c>
      <c r="Z60" s="124" t="s">
        <v>427</v>
      </c>
      <c r="AA60" s="115" t="s">
        <v>431</v>
      </c>
    </row>
    <row r="61">
      <c r="A61" s="111">
        <v>61.0</v>
      </c>
      <c r="B61" s="115" t="s">
        <v>132</v>
      </c>
      <c r="C61" s="62" t="s">
        <v>219</v>
      </c>
      <c r="D61" s="115"/>
      <c r="E61" s="62" t="s">
        <v>208</v>
      </c>
      <c r="F61" s="62" t="s">
        <v>420</v>
      </c>
      <c r="G61" s="214"/>
      <c r="H61" s="115">
        <v>2007.0</v>
      </c>
      <c r="I61" s="115">
        <v>2008.0</v>
      </c>
      <c r="J61" s="115" t="s">
        <v>432</v>
      </c>
      <c r="K61" s="115">
        <v>1500000.0</v>
      </c>
      <c r="L61" s="115" t="s">
        <v>422</v>
      </c>
      <c r="M61" s="128">
        <v>2007.0</v>
      </c>
      <c r="N61" s="124" t="s">
        <v>416</v>
      </c>
      <c r="O61" s="115" t="s">
        <v>433</v>
      </c>
      <c r="P61" s="132"/>
      <c r="Q61" s="115"/>
      <c r="R61" s="115"/>
      <c r="S61" s="115"/>
      <c r="T61" s="124"/>
      <c r="U61" s="115"/>
      <c r="V61" s="132">
        <v>2008.0</v>
      </c>
      <c r="W61" s="115" t="s">
        <v>434</v>
      </c>
      <c r="X61" s="133" t="s">
        <v>435</v>
      </c>
      <c r="Y61" s="115" t="s">
        <v>434</v>
      </c>
      <c r="Z61" s="124" t="s">
        <v>427</v>
      </c>
      <c r="AA61" s="115" t="s">
        <v>436</v>
      </c>
    </row>
    <row r="62">
      <c r="A62" s="111">
        <v>62.0</v>
      </c>
      <c r="B62" s="115" t="s">
        <v>132</v>
      </c>
      <c r="C62" s="62" t="s">
        <v>207</v>
      </c>
      <c r="D62" s="115"/>
      <c r="E62" s="62" t="s">
        <v>208</v>
      </c>
      <c r="F62" s="62" t="s">
        <v>263</v>
      </c>
      <c r="G62" s="115" t="s">
        <v>264</v>
      </c>
      <c r="H62" s="115">
        <v>2004.0</v>
      </c>
      <c r="I62" s="115">
        <v>2009.0</v>
      </c>
      <c r="J62" s="115" t="s">
        <v>437</v>
      </c>
      <c r="K62" s="137">
        <v>-0.1</v>
      </c>
      <c r="L62" s="115" t="s">
        <v>438</v>
      </c>
      <c r="M62" s="128">
        <v>2004.0</v>
      </c>
      <c r="N62" s="124" t="s">
        <v>397</v>
      </c>
      <c r="O62" s="115" t="s">
        <v>439</v>
      </c>
      <c r="P62" s="132">
        <v>2004.0</v>
      </c>
      <c r="Q62" s="115" t="s">
        <v>440</v>
      </c>
      <c r="R62" s="115">
        <v>3.83</v>
      </c>
      <c r="S62" s="115" t="s">
        <v>441</v>
      </c>
      <c r="T62" s="124" t="s">
        <v>408</v>
      </c>
      <c r="U62" s="115" t="s">
        <v>442</v>
      </c>
      <c r="V62" s="132">
        <v>2009.0</v>
      </c>
      <c r="W62" s="115" t="s">
        <v>441</v>
      </c>
      <c r="X62" s="133">
        <v>2.63</v>
      </c>
      <c r="Y62" s="115" t="s">
        <v>441</v>
      </c>
      <c r="Z62" s="124" t="s">
        <v>443</v>
      </c>
      <c r="AA62" s="115" t="s">
        <v>444</v>
      </c>
    </row>
    <row r="63">
      <c r="A63" s="111">
        <v>63.0</v>
      </c>
      <c r="B63" s="115" t="s">
        <v>132</v>
      </c>
      <c r="C63" s="62" t="s">
        <v>219</v>
      </c>
      <c r="D63" s="115"/>
      <c r="E63" s="62" t="s">
        <v>208</v>
      </c>
      <c r="F63" s="62" t="s">
        <v>220</v>
      </c>
      <c r="G63" s="115" t="s">
        <v>251</v>
      </c>
      <c r="H63" s="115">
        <v>2008.0</v>
      </c>
      <c r="I63" s="115">
        <v>2009.0</v>
      </c>
      <c r="J63" s="115" t="s">
        <v>445</v>
      </c>
      <c r="K63" s="115">
        <v>250.0</v>
      </c>
      <c r="L63" s="115" t="s">
        <v>426</v>
      </c>
      <c r="M63" s="128">
        <v>2008.0</v>
      </c>
      <c r="N63" s="124" t="s">
        <v>427</v>
      </c>
      <c r="O63" s="115" t="s">
        <v>428</v>
      </c>
      <c r="P63" s="132"/>
      <c r="Q63" s="115"/>
      <c r="R63" s="115"/>
      <c r="S63" s="115"/>
      <c r="T63" s="124"/>
      <c r="U63" s="115"/>
      <c r="V63" s="132">
        <v>2009.0</v>
      </c>
      <c r="W63" s="115" t="s">
        <v>446</v>
      </c>
      <c r="X63" s="133" t="s">
        <v>447</v>
      </c>
      <c r="Y63" s="115" t="s">
        <v>446</v>
      </c>
      <c r="Z63" s="124" t="s">
        <v>448</v>
      </c>
      <c r="AA63" s="115" t="s">
        <v>449</v>
      </c>
    </row>
    <row r="64">
      <c r="A64" s="111">
        <v>64.0</v>
      </c>
      <c r="B64" s="115" t="s">
        <v>132</v>
      </c>
      <c r="C64" s="62" t="s">
        <v>207</v>
      </c>
      <c r="D64" s="115"/>
      <c r="E64" s="62" t="s">
        <v>208</v>
      </c>
      <c r="F64" s="62" t="s">
        <v>420</v>
      </c>
      <c r="G64" s="134"/>
      <c r="H64" s="115">
        <v>2008.0</v>
      </c>
      <c r="I64" s="115">
        <v>2009.0</v>
      </c>
      <c r="J64" s="115" t="s">
        <v>450</v>
      </c>
      <c r="K64" s="115">
        <v>1700000.0</v>
      </c>
      <c r="L64" s="161" t="s">
        <v>451</v>
      </c>
      <c r="M64" s="128">
        <v>2008.0</v>
      </c>
      <c r="N64" s="124" t="s">
        <v>427</v>
      </c>
      <c r="O64" s="115" t="s">
        <v>452</v>
      </c>
      <c r="P64" s="132"/>
      <c r="Q64" s="115"/>
      <c r="R64" s="115"/>
      <c r="S64" s="115"/>
      <c r="T64" s="124"/>
      <c r="U64" s="115"/>
      <c r="V64" s="132">
        <v>2009.0</v>
      </c>
      <c r="W64" s="115" t="s">
        <v>434</v>
      </c>
      <c r="X64" s="133">
        <v>1875000.0</v>
      </c>
      <c r="Y64" s="115" t="s">
        <v>434</v>
      </c>
      <c r="Z64" s="124" t="s">
        <v>443</v>
      </c>
      <c r="AA64" s="115" t="s">
        <v>453</v>
      </c>
    </row>
    <row r="65">
      <c r="A65" s="111">
        <v>65.0</v>
      </c>
      <c r="B65" s="115" t="s">
        <v>132</v>
      </c>
      <c r="C65" s="62" t="s">
        <v>274</v>
      </c>
      <c r="D65" s="115" t="s">
        <v>454</v>
      </c>
      <c r="E65" s="62" t="s">
        <v>231</v>
      </c>
      <c r="F65" s="62" t="s">
        <v>258</v>
      </c>
      <c r="G65" s="134"/>
      <c r="H65" s="115">
        <v>2018.0</v>
      </c>
      <c r="I65" s="215">
        <v>2019.0</v>
      </c>
      <c r="J65" s="216" t="s">
        <v>455</v>
      </c>
      <c r="K65" s="217">
        <v>0.3</v>
      </c>
      <c r="L65" s="216" t="s">
        <v>456</v>
      </c>
      <c r="M65" s="218">
        <v>2018.0</v>
      </c>
      <c r="N65" s="219" t="s">
        <v>457</v>
      </c>
      <c r="O65" s="220" t="s">
        <v>453</v>
      </c>
      <c r="P65" s="132"/>
      <c r="Q65" s="115"/>
      <c r="R65" s="115"/>
      <c r="S65" s="115"/>
      <c r="T65" s="124"/>
      <c r="U65" s="115"/>
      <c r="V65" s="132">
        <v>2019.0</v>
      </c>
      <c r="W65" s="115"/>
      <c r="X65" s="133">
        <f>671/( 1712)%</f>
        <v>39.19392523</v>
      </c>
      <c r="Y65" s="115" t="s">
        <v>458</v>
      </c>
      <c r="Z65" s="124" t="s">
        <v>459</v>
      </c>
      <c r="AA65" s="115" t="s">
        <v>460</v>
      </c>
    </row>
    <row r="66">
      <c r="A66" s="111">
        <v>66.0</v>
      </c>
      <c r="B66" s="115" t="s">
        <v>132</v>
      </c>
      <c r="C66" s="62" t="s">
        <v>207</v>
      </c>
      <c r="D66" s="115"/>
      <c r="E66" s="62" t="s">
        <v>231</v>
      </c>
      <c r="F66" s="62" t="s">
        <v>461</v>
      </c>
      <c r="G66" s="134"/>
      <c r="H66" s="115">
        <v>2009.0</v>
      </c>
      <c r="I66" s="115">
        <v>2010.0</v>
      </c>
      <c r="J66" s="115" t="s">
        <v>462</v>
      </c>
      <c r="K66" s="137"/>
      <c r="L66" s="115"/>
      <c r="M66" s="128">
        <v>2009.0</v>
      </c>
      <c r="N66" s="124" t="s">
        <v>443</v>
      </c>
      <c r="O66" s="115" t="s">
        <v>285</v>
      </c>
      <c r="P66" s="132"/>
      <c r="Q66" s="115"/>
      <c r="R66" s="115"/>
      <c r="S66" s="115"/>
      <c r="T66" s="124"/>
      <c r="U66" s="115"/>
      <c r="V66" s="132">
        <v>2010.0</v>
      </c>
      <c r="W66" s="115"/>
      <c r="X66" s="138"/>
      <c r="Y66" s="115"/>
      <c r="Z66" s="124" t="s">
        <v>448</v>
      </c>
      <c r="AA66" s="115" t="s">
        <v>463</v>
      </c>
    </row>
    <row r="67">
      <c r="A67" s="111">
        <v>67.0</v>
      </c>
      <c r="B67" s="115" t="s">
        <v>132</v>
      </c>
      <c r="C67" s="62" t="s">
        <v>274</v>
      </c>
      <c r="D67" s="115" t="s">
        <v>464</v>
      </c>
      <c r="E67" s="62" t="s">
        <v>231</v>
      </c>
      <c r="F67" s="62" t="s">
        <v>220</v>
      </c>
      <c r="G67" s="115" t="s">
        <v>251</v>
      </c>
      <c r="H67" s="115">
        <v>2009.0</v>
      </c>
      <c r="I67" s="115">
        <v>2010.0</v>
      </c>
      <c r="J67" s="115" t="s">
        <v>465</v>
      </c>
      <c r="K67" s="137"/>
      <c r="L67" s="115"/>
      <c r="M67" s="128">
        <v>2009.0</v>
      </c>
      <c r="N67" s="124" t="s">
        <v>443</v>
      </c>
      <c r="O67" s="115"/>
      <c r="P67" s="132"/>
      <c r="Q67" s="115"/>
      <c r="R67" s="115"/>
      <c r="S67" s="115"/>
      <c r="T67" s="124"/>
      <c r="U67" s="115"/>
      <c r="V67" s="132"/>
      <c r="W67" s="115"/>
      <c r="X67" s="138"/>
      <c r="Y67" s="115"/>
      <c r="Z67" s="124" t="s">
        <v>448</v>
      </c>
      <c r="AA67" s="115" t="s">
        <v>466</v>
      </c>
    </row>
    <row r="68">
      <c r="A68" s="111">
        <v>68.0</v>
      </c>
      <c r="B68" s="115" t="s">
        <v>132</v>
      </c>
      <c r="C68" s="62" t="s">
        <v>219</v>
      </c>
      <c r="D68" s="115"/>
      <c r="E68" s="62" t="s">
        <v>208</v>
      </c>
      <c r="F68" s="62" t="s">
        <v>263</v>
      </c>
      <c r="G68" s="115" t="s">
        <v>264</v>
      </c>
      <c r="H68" s="115">
        <v>2009.0</v>
      </c>
      <c r="I68" s="115">
        <v>2010.0</v>
      </c>
      <c r="J68" s="115" t="s">
        <v>467</v>
      </c>
      <c r="K68" s="115">
        <v>3.21</v>
      </c>
      <c r="L68" s="115" t="s">
        <v>468</v>
      </c>
      <c r="M68" s="128">
        <v>2010.0</v>
      </c>
      <c r="N68" s="124" t="s">
        <v>448</v>
      </c>
      <c r="O68" s="115" t="s">
        <v>469</v>
      </c>
      <c r="P68" s="132">
        <v>2009.0</v>
      </c>
      <c r="Q68" s="115" t="s">
        <v>468</v>
      </c>
      <c r="R68" s="115">
        <v>3.38</v>
      </c>
      <c r="S68" s="115" t="s">
        <v>468</v>
      </c>
      <c r="T68" s="124" t="s">
        <v>448</v>
      </c>
      <c r="U68" s="115" t="s">
        <v>469</v>
      </c>
      <c r="V68" s="132">
        <v>2010.0</v>
      </c>
      <c r="W68" s="115" t="s">
        <v>468</v>
      </c>
      <c r="X68" s="133">
        <v>3.71</v>
      </c>
      <c r="Y68" s="115" t="s">
        <v>468</v>
      </c>
      <c r="Z68" s="124" t="s">
        <v>448</v>
      </c>
      <c r="AA68" s="115" t="s">
        <v>469</v>
      </c>
    </row>
    <row r="69">
      <c r="A69" s="111">
        <v>69.0</v>
      </c>
      <c r="B69" s="115" t="s">
        <v>132</v>
      </c>
      <c r="C69" s="62" t="s">
        <v>207</v>
      </c>
      <c r="D69" s="115"/>
      <c r="E69" s="62" t="s">
        <v>208</v>
      </c>
      <c r="F69" s="62" t="s">
        <v>263</v>
      </c>
      <c r="G69" s="115" t="s">
        <v>264</v>
      </c>
      <c r="H69" s="115">
        <v>2010.0</v>
      </c>
      <c r="I69" s="115">
        <v>2011.0</v>
      </c>
      <c r="J69" s="115" t="s">
        <v>467</v>
      </c>
      <c r="K69" s="137">
        <v>-0.05</v>
      </c>
      <c r="L69" s="115" t="s">
        <v>470</v>
      </c>
      <c r="M69" s="128">
        <v>2009.0</v>
      </c>
      <c r="N69" s="124" t="s">
        <v>443</v>
      </c>
      <c r="O69" s="115" t="s">
        <v>471</v>
      </c>
      <c r="P69" s="132">
        <v>2010.0</v>
      </c>
      <c r="Q69" s="115" t="s">
        <v>468</v>
      </c>
      <c r="R69" s="115">
        <v>3.71</v>
      </c>
      <c r="S69" s="115" t="s">
        <v>468</v>
      </c>
      <c r="T69" s="124" t="s">
        <v>472</v>
      </c>
      <c r="U69" s="115" t="s">
        <v>473</v>
      </c>
      <c r="V69" s="132">
        <v>2011.0</v>
      </c>
      <c r="W69" s="115" t="s">
        <v>468</v>
      </c>
      <c r="X69" s="133">
        <v>3.16</v>
      </c>
      <c r="Y69" s="115" t="s">
        <v>468</v>
      </c>
      <c r="Z69" s="124" t="s">
        <v>472</v>
      </c>
      <c r="AA69" s="115" t="s">
        <v>473</v>
      </c>
    </row>
    <row r="70">
      <c r="A70" s="111">
        <v>70.0</v>
      </c>
      <c r="B70" s="115" t="s">
        <v>132</v>
      </c>
      <c r="C70" s="62" t="s">
        <v>219</v>
      </c>
      <c r="D70" s="115" t="s">
        <v>474</v>
      </c>
      <c r="E70" s="62" t="s">
        <v>208</v>
      </c>
      <c r="F70" s="62" t="s">
        <v>263</v>
      </c>
      <c r="G70" s="115" t="s">
        <v>264</v>
      </c>
      <c r="H70" s="115">
        <v>2009.0</v>
      </c>
      <c r="I70" s="115">
        <v>2012.0</v>
      </c>
      <c r="J70" s="115" t="s">
        <v>467</v>
      </c>
      <c r="K70" s="137">
        <v>-0.05</v>
      </c>
      <c r="L70" s="115" t="s">
        <v>470</v>
      </c>
      <c r="M70" s="128">
        <v>2009.0</v>
      </c>
      <c r="N70" s="124" t="s">
        <v>443</v>
      </c>
      <c r="O70" s="115" t="s">
        <v>471</v>
      </c>
      <c r="P70" s="132">
        <v>2011.0</v>
      </c>
      <c r="Q70" s="115" t="s">
        <v>468</v>
      </c>
      <c r="R70" s="115">
        <v>3.16</v>
      </c>
      <c r="S70" s="115" t="s">
        <v>468</v>
      </c>
      <c r="T70" s="124" t="s">
        <v>472</v>
      </c>
      <c r="U70" s="115" t="s">
        <v>473</v>
      </c>
      <c r="V70" s="132">
        <v>2012.0</v>
      </c>
      <c r="W70" s="115" t="s">
        <v>468</v>
      </c>
      <c r="X70" s="133">
        <v>3.0</v>
      </c>
      <c r="Y70" s="115" t="s">
        <v>468</v>
      </c>
      <c r="Z70" s="124" t="s">
        <v>475</v>
      </c>
      <c r="AA70" s="115" t="s">
        <v>476</v>
      </c>
    </row>
    <row r="71">
      <c r="A71" s="111">
        <v>71.0</v>
      </c>
      <c r="B71" s="115" t="s">
        <v>132</v>
      </c>
      <c r="C71" s="62" t="s">
        <v>207</v>
      </c>
      <c r="D71" s="115"/>
      <c r="E71" s="62" t="s">
        <v>208</v>
      </c>
      <c r="F71" s="62" t="s">
        <v>220</v>
      </c>
      <c r="G71" s="115" t="s">
        <v>251</v>
      </c>
      <c r="H71" s="115">
        <v>2008.0</v>
      </c>
      <c r="I71" s="115">
        <v>2013.0</v>
      </c>
      <c r="J71" s="115" t="s">
        <v>477</v>
      </c>
      <c r="K71" s="137">
        <v>0.5</v>
      </c>
      <c r="L71" s="115" t="s">
        <v>478</v>
      </c>
      <c r="M71" s="128">
        <v>2009.0</v>
      </c>
      <c r="N71" s="124" t="s">
        <v>443</v>
      </c>
      <c r="O71" s="115" t="s">
        <v>479</v>
      </c>
      <c r="P71" s="132">
        <v>2008.0</v>
      </c>
      <c r="Q71" s="115"/>
      <c r="R71" s="115">
        <v>2000.0</v>
      </c>
      <c r="S71" s="115" t="s">
        <v>406</v>
      </c>
      <c r="T71" s="124" t="s">
        <v>448</v>
      </c>
      <c r="U71" s="115" t="s">
        <v>480</v>
      </c>
      <c r="V71" s="132">
        <v>2010.0</v>
      </c>
      <c r="W71" s="115" t="s">
        <v>406</v>
      </c>
      <c r="X71" s="133" t="s">
        <v>481</v>
      </c>
      <c r="Y71" s="115" t="s">
        <v>406</v>
      </c>
      <c r="Z71" s="124" t="s">
        <v>448</v>
      </c>
      <c r="AA71" s="115" t="s">
        <v>482</v>
      </c>
    </row>
    <row r="72">
      <c r="A72" s="111">
        <v>72.0</v>
      </c>
      <c r="B72" s="115" t="s">
        <v>132</v>
      </c>
      <c r="C72" s="62" t="s">
        <v>274</v>
      </c>
      <c r="D72" s="115" t="s">
        <v>483</v>
      </c>
      <c r="E72" s="62" t="s">
        <v>208</v>
      </c>
      <c r="F72" s="62" t="s">
        <v>258</v>
      </c>
      <c r="G72" s="134"/>
      <c r="H72" s="115">
        <v>2008.0</v>
      </c>
      <c r="I72" s="115">
        <v>2020.0</v>
      </c>
      <c r="J72" s="115" t="s">
        <v>484</v>
      </c>
      <c r="K72" s="137">
        <v>-0.2</v>
      </c>
      <c r="L72" s="115" t="s">
        <v>485</v>
      </c>
      <c r="M72" s="128">
        <v>2008.0</v>
      </c>
      <c r="N72" s="124" t="s">
        <v>427</v>
      </c>
      <c r="O72" s="115" t="s">
        <v>486</v>
      </c>
      <c r="P72" s="132">
        <v>2007.0</v>
      </c>
      <c r="Q72" s="115" t="s">
        <v>487</v>
      </c>
      <c r="R72" s="115">
        <v>190.39</v>
      </c>
      <c r="S72" s="115" t="s">
        <v>488</v>
      </c>
      <c r="T72" s="124" t="s">
        <v>489</v>
      </c>
      <c r="U72" s="115" t="s">
        <v>473</v>
      </c>
      <c r="V72" s="132">
        <v>2020.0</v>
      </c>
      <c r="W72" s="115" t="s">
        <v>490</v>
      </c>
      <c r="X72" s="133">
        <f> 190*(1-0.08)*(1-0.17)</f>
        <v>145.084</v>
      </c>
      <c r="Y72" s="115" t="s">
        <v>491</v>
      </c>
      <c r="Z72" s="124" t="s">
        <v>492</v>
      </c>
      <c r="AA72" s="115" t="s">
        <v>493</v>
      </c>
    </row>
    <row r="73">
      <c r="A73" s="111">
        <v>73.0</v>
      </c>
      <c r="B73" s="115" t="s">
        <v>132</v>
      </c>
      <c r="C73" s="62" t="s">
        <v>207</v>
      </c>
      <c r="D73" s="115"/>
      <c r="E73" s="62" t="s">
        <v>208</v>
      </c>
      <c r="F73" s="62" t="s">
        <v>258</v>
      </c>
      <c r="G73" s="115" t="s">
        <v>494</v>
      </c>
      <c r="H73" s="115">
        <v>2008.0</v>
      </c>
      <c r="I73" s="115">
        <v>2020.0</v>
      </c>
      <c r="J73" s="115" t="s">
        <v>495</v>
      </c>
      <c r="K73" s="137">
        <v>0.2</v>
      </c>
      <c r="L73" s="115" t="s">
        <v>496</v>
      </c>
      <c r="M73" s="128">
        <v>2008.0</v>
      </c>
      <c r="N73" s="124" t="s">
        <v>427</v>
      </c>
      <c r="O73" s="115" t="s">
        <v>486</v>
      </c>
      <c r="P73" s="132"/>
      <c r="Q73" s="115"/>
      <c r="R73" s="115"/>
      <c r="S73" s="115"/>
      <c r="T73" s="124"/>
      <c r="U73" s="115"/>
      <c r="V73" s="132">
        <v>2020.0</v>
      </c>
      <c r="W73" s="115" t="s">
        <v>497</v>
      </c>
      <c r="X73" s="138">
        <v>0.9</v>
      </c>
      <c r="Y73" s="115" t="s">
        <v>497</v>
      </c>
      <c r="Z73" s="124" t="s">
        <v>492</v>
      </c>
      <c r="AA73" s="115" t="s">
        <v>498</v>
      </c>
    </row>
    <row r="74">
      <c r="A74" s="111">
        <v>74.0</v>
      </c>
      <c r="B74" s="115" t="s">
        <v>132</v>
      </c>
      <c r="C74" s="62" t="s">
        <v>207</v>
      </c>
      <c r="D74" s="115"/>
      <c r="E74" s="62" t="s">
        <v>208</v>
      </c>
      <c r="F74" s="62" t="s">
        <v>220</v>
      </c>
      <c r="G74" s="115" t="s">
        <v>251</v>
      </c>
      <c r="H74" s="115">
        <v>2009.0</v>
      </c>
      <c r="I74" s="115">
        <v>2020.0</v>
      </c>
      <c r="J74" s="115" t="s">
        <v>499</v>
      </c>
      <c r="K74" s="137">
        <v>1.0</v>
      </c>
      <c r="L74" s="115" t="s">
        <v>500</v>
      </c>
      <c r="M74" s="128">
        <v>2009.0</v>
      </c>
      <c r="N74" s="124" t="s">
        <v>443</v>
      </c>
      <c r="O74" s="115" t="s">
        <v>501</v>
      </c>
      <c r="P74" s="132">
        <v>2014.0</v>
      </c>
      <c r="Q74" s="115"/>
      <c r="R74" s="137">
        <v>0.22</v>
      </c>
      <c r="S74" s="115" t="s">
        <v>500</v>
      </c>
      <c r="T74" s="124" t="s">
        <v>489</v>
      </c>
      <c r="U74" s="115" t="s">
        <v>502</v>
      </c>
      <c r="V74" s="132">
        <v>2020.0</v>
      </c>
      <c r="W74" s="115"/>
      <c r="X74" s="138">
        <v>1.0</v>
      </c>
      <c r="Y74" s="115" t="s">
        <v>500</v>
      </c>
      <c r="Z74" s="124" t="s">
        <v>492</v>
      </c>
      <c r="AA74" s="115" t="s">
        <v>498</v>
      </c>
    </row>
    <row r="75">
      <c r="A75" s="111">
        <v>76.0</v>
      </c>
      <c r="B75" s="115" t="s">
        <v>112</v>
      </c>
      <c r="C75" s="62" t="s">
        <v>343</v>
      </c>
      <c r="D75" s="115"/>
      <c r="E75" s="62" t="s">
        <v>231</v>
      </c>
      <c r="F75" s="62" t="s">
        <v>220</v>
      </c>
      <c r="G75" s="134"/>
      <c r="H75" s="115">
        <v>2019.0</v>
      </c>
      <c r="I75" s="115">
        <v>2025.0</v>
      </c>
      <c r="J75" s="221" t="s">
        <v>503</v>
      </c>
      <c r="K75" s="137">
        <v>0.25</v>
      </c>
      <c r="L75" s="115" t="s">
        <v>504</v>
      </c>
      <c r="M75" s="128">
        <v>2019.0</v>
      </c>
      <c r="N75" s="136" t="s">
        <v>505</v>
      </c>
      <c r="O75" s="115" t="s">
        <v>506</v>
      </c>
      <c r="P75" s="132"/>
      <c r="Q75" s="115"/>
      <c r="R75" s="115"/>
      <c r="S75" s="115"/>
      <c r="T75" s="124"/>
      <c r="U75" s="115"/>
      <c r="V75" s="132"/>
      <c r="W75" s="115"/>
      <c r="X75" s="133"/>
      <c r="Y75" s="115"/>
      <c r="Z75" s="124"/>
      <c r="AA75" s="115"/>
    </row>
    <row r="76">
      <c r="A76" s="111">
        <v>77.0</v>
      </c>
      <c r="B76" s="115" t="s">
        <v>112</v>
      </c>
      <c r="C76" s="62" t="s">
        <v>207</v>
      </c>
      <c r="D76" s="115"/>
      <c r="E76" s="62" t="s">
        <v>208</v>
      </c>
      <c r="F76" s="62" t="s">
        <v>258</v>
      </c>
      <c r="G76" s="115" t="s">
        <v>494</v>
      </c>
      <c r="H76" s="115">
        <v>2019.0</v>
      </c>
      <c r="I76" s="115">
        <v>2023.0</v>
      </c>
      <c r="J76" s="221" t="s">
        <v>507</v>
      </c>
      <c r="K76" s="137">
        <v>1.0</v>
      </c>
      <c r="L76" s="115" t="s">
        <v>508</v>
      </c>
      <c r="M76" s="128">
        <v>2019.0</v>
      </c>
      <c r="N76" s="136" t="s">
        <v>505</v>
      </c>
      <c r="O76" s="115" t="s">
        <v>506</v>
      </c>
      <c r="P76" s="132"/>
      <c r="Q76" s="115"/>
      <c r="R76" s="115"/>
      <c r="S76" s="115"/>
      <c r="T76" s="124"/>
      <c r="U76" s="115"/>
      <c r="V76" s="132">
        <v>2023.0</v>
      </c>
      <c r="W76" s="115" t="s">
        <v>509</v>
      </c>
      <c r="X76" s="138">
        <v>1.0</v>
      </c>
      <c r="Y76" s="115"/>
      <c r="Z76" s="124" t="s">
        <v>510</v>
      </c>
      <c r="AA76" s="115" t="s">
        <v>511</v>
      </c>
    </row>
    <row r="77">
      <c r="A77" s="111">
        <v>79.0</v>
      </c>
      <c r="B77" s="115" t="s">
        <v>112</v>
      </c>
      <c r="C77" s="62" t="s">
        <v>343</v>
      </c>
      <c r="D77" s="115"/>
      <c r="E77" s="62" t="s">
        <v>231</v>
      </c>
      <c r="F77" s="62" t="s">
        <v>244</v>
      </c>
      <c r="G77" s="134"/>
      <c r="H77" s="115">
        <v>2019.0</v>
      </c>
      <c r="I77" s="115">
        <v>2025.0</v>
      </c>
      <c r="J77" s="221" t="s">
        <v>512</v>
      </c>
      <c r="K77" s="137">
        <v>0.0</v>
      </c>
      <c r="L77" s="115" t="s">
        <v>513</v>
      </c>
      <c r="M77" s="128">
        <v>2019.0</v>
      </c>
      <c r="N77" s="136" t="s">
        <v>505</v>
      </c>
      <c r="O77" s="115" t="s">
        <v>506</v>
      </c>
      <c r="P77" s="132"/>
      <c r="Q77" s="115"/>
      <c r="R77" s="115"/>
      <c r="S77" s="115"/>
      <c r="T77" s="124"/>
      <c r="U77" s="115"/>
      <c r="V77" s="132"/>
      <c r="W77" s="115"/>
      <c r="X77" s="133"/>
      <c r="Y77" s="115"/>
      <c r="Z77" s="124"/>
      <c r="AA77" s="115"/>
    </row>
    <row r="78">
      <c r="A78" s="111">
        <v>80.0</v>
      </c>
      <c r="B78" s="115" t="s">
        <v>132</v>
      </c>
      <c r="C78" s="112" t="s">
        <v>219</v>
      </c>
      <c r="D78" s="115"/>
      <c r="E78" s="113" t="s">
        <v>208</v>
      </c>
      <c r="F78" s="62" t="s">
        <v>267</v>
      </c>
      <c r="G78" s="134"/>
      <c r="H78" s="116">
        <v>2020.0</v>
      </c>
      <c r="I78" s="116">
        <v>2022.0</v>
      </c>
      <c r="J78" s="111" t="s">
        <v>514</v>
      </c>
      <c r="K78" s="143">
        <v>-0.25</v>
      </c>
      <c r="L78" s="111" t="s">
        <v>515</v>
      </c>
      <c r="M78" s="117">
        <v>2020.0</v>
      </c>
      <c r="N78" s="118" t="s">
        <v>492</v>
      </c>
      <c r="O78" s="111" t="s">
        <v>516</v>
      </c>
      <c r="P78" s="119">
        <v>2017.0</v>
      </c>
      <c r="Q78" s="111"/>
      <c r="R78" s="143"/>
      <c r="S78" s="111"/>
      <c r="T78" s="118"/>
      <c r="U78" s="111"/>
      <c r="V78" s="119">
        <v>2022.0</v>
      </c>
      <c r="W78" s="111" t="s">
        <v>514</v>
      </c>
      <c r="X78" s="143">
        <v>-0.21</v>
      </c>
      <c r="Y78" s="111" t="s">
        <v>515</v>
      </c>
      <c r="Z78" s="118" t="s">
        <v>517</v>
      </c>
      <c r="AA78" s="111" t="s">
        <v>518</v>
      </c>
    </row>
    <row r="79">
      <c r="A79" s="111">
        <v>81.0</v>
      </c>
      <c r="B79" s="111" t="s">
        <v>132</v>
      </c>
      <c r="C79" s="112" t="s">
        <v>207</v>
      </c>
      <c r="D79" s="111"/>
      <c r="E79" s="113" t="s">
        <v>231</v>
      </c>
      <c r="F79" s="114" t="s">
        <v>267</v>
      </c>
      <c r="G79" s="146"/>
      <c r="H79" s="116">
        <v>2019.0</v>
      </c>
      <c r="I79" s="116">
        <v>2022.0</v>
      </c>
      <c r="J79" s="111" t="s">
        <v>519</v>
      </c>
      <c r="K79" s="143">
        <v>0.15</v>
      </c>
      <c r="L79" s="111" t="s">
        <v>519</v>
      </c>
      <c r="M79" s="117">
        <v>2019.0</v>
      </c>
      <c r="N79" s="118" t="s">
        <v>459</v>
      </c>
      <c r="O79" s="111" t="s">
        <v>520</v>
      </c>
      <c r="P79" s="119">
        <v>2019.0</v>
      </c>
      <c r="Q79" s="111" t="s">
        <v>519</v>
      </c>
      <c r="R79" s="143">
        <v>0.13</v>
      </c>
      <c r="S79" s="111" t="s">
        <v>519</v>
      </c>
      <c r="T79" s="118" t="s">
        <v>459</v>
      </c>
      <c r="U79" s="111" t="s">
        <v>521</v>
      </c>
      <c r="V79" s="132">
        <v>2022.0</v>
      </c>
      <c r="W79" s="120"/>
      <c r="X79" s="222">
        <v>0.21</v>
      </c>
      <c r="Y79" s="111" t="s">
        <v>519</v>
      </c>
      <c r="Z79" s="118" t="s">
        <v>517</v>
      </c>
      <c r="AA79" s="111" t="s">
        <v>518</v>
      </c>
    </row>
    <row r="80">
      <c r="A80" s="111">
        <v>82.0</v>
      </c>
      <c r="B80" s="115" t="s">
        <v>112</v>
      </c>
      <c r="C80" s="62" t="s">
        <v>343</v>
      </c>
      <c r="D80" s="115"/>
      <c r="E80" s="62" t="s">
        <v>231</v>
      </c>
      <c r="F80" s="62" t="s">
        <v>244</v>
      </c>
      <c r="G80" s="134"/>
      <c r="H80" s="115">
        <v>2019.0</v>
      </c>
      <c r="I80" s="115">
        <v>2030.0</v>
      </c>
      <c r="J80" s="221" t="s">
        <v>522</v>
      </c>
      <c r="K80" s="137">
        <v>0.0</v>
      </c>
      <c r="L80" s="115" t="s">
        <v>523</v>
      </c>
      <c r="M80" s="128">
        <v>2019.0</v>
      </c>
      <c r="N80" s="136" t="s">
        <v>505</v>
      </c>
      <c r="O80" s="115" t="s">
        <v>506</v>
      </c>
      <c r="P80" s="132"/>
      <c r="Q80" s="115"/>
      <c r="R80" s="115"/>
      <c r="S80" s="115"/>
      <c r="T80" s="124"/>
      <c r="U80" s="115"/>
      <c r="V80" s="132"/>
      <c r="W80" s="115"/>
      <c r="X80" s="133"/>
      <c r="Y80" s="115"/>
      <c r="Z80" s="124"/>
      <c r="AA80" s="115"/>
    </row>
    <row r="81">
      <c r="A81" s="111">
        <v>83.0</v>
      </c>
      <c r="B81" s="115" t="s">
        <v>132</v>
      </c>
      <c r="C81" s="62" t="s">
        <v>207</v>
      </c>
      <c r="D81" s="115"/>
      <c r="E81" s="62" t="s">
        <v>208</v>
      </c>
      <c r="F81" s="62" t="s">
        <v>209</v>
      </c>
      <c r="G81" s="115" t="s">
        <v>210</v>
      </c>
      <c r="H81" s="115">
        <v>2010.0</v>
      </c>
      <c r="I81" s="115">
        <v>2011.0</v>
      </c>
      <c r="J81" s="115" t="s">
        <v>524</v>
      </c>
      <c r="K81" s="115" t="s">
        <v>525</v>
      </c>
      <c r="L81" s="115" t="s">
        <v>526</v>
      </c>
      <c r="M81" s="128">
        <v>2010.0</v>
      </c>
      <c r="N81" s="124" t="s">
        <v>448</v>
      </c>
      <c r="O81" s="115" t="s">
        <v>527</v>
      </c>
      <c r="P81" s="132"/>
      <c r="Q81" s="115"/>
      <c r="R81" s="115"/>
      <c r="S81" s="115"/>
      <c r="T81" s="124"/>
      <c r="U81" s="115"/>
      <c r="V81" s="132">
        <v>2011.0</v>
      </c>
      <c r="W81" s="115" t="s">
        <v>528</v>
      </c>
      <c r="X81" s="133" t="s">
        <v>529</v>
      </c>
      <c r="Y81" s="115" t="s">
        <v>528</v>
      </c>
      <c r="Z81" s="124" t="s">
        <v>472</v>
      </c>
      <c r="AA81" s="115" t="s">
        <v>530</v>
      </c>
    </row>
    <row r="82">
      <c r="A82" s="111">
        <v>84.0</v>
      </c>
      <c r="B82" s="115" t="s">
        <v>132</v>
      </c>
      <c r="C82" s="62" t="s">
        <v>219</v>
      </c>
      <c r="D82" s="115"/>
      <c r="E82" s="62" t="s">
        <v>208</v>
      </c>
      <c r="F82" s="62" t="s">
        <v>220</v>
      </c>
      <c r="G82" s="134" t="s">
        <v>374</v>
      </c>
      <c r="H82" s="115">
        <v>2010.0</v>
      </c>
      <c r="I82" s="115">
        <v>2011.0</v>
      </c>
      <c r="J82" s="115" t="s">
        <v>531</v>
      </c>
      <c r="K82" s="115">
        <v>500000.0</v>
      </c>
      <c r="L82" s="115" t="s">
        <v>532</v>
      </c>
      <c r="M82" s="128">
        <v>2010.0</v>
      </c>
      <c r="N82" s="124" t="s">
        <v>448</v>
      </c>
      <c r="O82" s="115" t="s">
        <v>521</v>
      </c>
      <c r="P82" s="132"/>
      <c r="Q82" s="115"/>
      <c r="R82" s="115"/>
      <c r="S82" s="115"/>
      <c r="T82" s="124"/>
      <c r="U82" s="115"/>
      <c r="V82" s="132">
        <v>2011.0</v>
      </c>
      <c r="W82" s="115" t="s">
        <v>532</v>
      </c>
      <c r="X82" s="133">
        <v>60000.0</v>
      </c>
      <c r="Y82" s="115" t="s">
        <v>532</v>
      </c>
      <c r="Z82" s="124" t="s">
        <v>472</v>
      </c>
      <c r="AA82" s="115" t="s">
        <v>533</v>
      </c>
    </row>
    <row r="83">
      <c r="A83" s="111">
        <v>85.0</v>
      </c>
      <c r="B83" s="115" t="s">
        <v>132</v>
      </c>
      <c r="C83" s="62" t="s">
        <v>274</v>
      </c>
      <c r="D83" s="115" t="s">
        <v>464</v>
      </c>
      <c r="E83" s="62" t="s">
        <v>208</v>
      </c>
      <c r="F83" s="62" t="s">
        <v>220</v>
      </c>
      <c r="G83" s="115" t="s">
        <v>251</v>
      </c>
      <c r="H83" s="115">
        <v>2011.0</v>
      </c>
      <c r="I83" s="115">
        <v>2012.0</v>
      </c>
      <c r="J83" s="115" t="s">
        <v>534</v>
      </c>
      <c r="K83" s="137">
        <v>1.0</v>
      </c>
      <c r="L83" s="115" t="s">
        <v>535</v>
      </c>
      <c r="M83" s="128">
        <v>2011.0</v>
      </c>
      <c r="N83" s="124" t="s">
        <v>472</v>
      </c>
      <c r="O83" s="115" t="s">
        <v>289</v>
      </c>
      <c r="P83" s="132"/>
      <c r="Q83" s="115"/>
      <c r="R83" s="115"/>
      <c r="S83" s="115"/>
      <c r="T83" s="124"/>
      <c r="U83" s="115"/>
      <c r="V83" s="132">
        <v>2012.0</v>
      </c>
      <c r="X83" s="133"/>
      <c r="Z83" s="124" t="s">
        <v>475</v>
      </c>
      <c r="AA83" s="115" t="s">
        <v>536</v>
      </c>
    </row>
    <row r="84">
      <c r="A84" s="111">
        <v>86.0</v>
      </c>
      <c r="B84" s="115" t="s">
        <v>132</v>
      </c>
      <c r="C84" s="62" t="s">
        <v>207</v>
      </c>
      <c r="D84" s="115"/>
      <c r="E84" s="62" t="s">
        <v>208</v>
      </c>
      <c r="F84" s="62" t="s">
        <v>209</v>
      </c>
      <c r="G84" s="115" t="s">
        <v>210</v>
      </c>
      <c r="H84" s="115">
        <v>2011.0</v>
      </c>
      <c r="I84" s="115">
        <v>2012.0</v>
      </c>
      <c r="J84" s="115" t="s">
        <v>537</v>
      </c>
      <c r="K84" s="115" t="s">
        <v>538</v>
      </c>
      <c r="L84" s="115" t="s">
        <v>528</v>
      </c>
      <c r="M84" s="128">
        <v>2011.0</v>
      </c>
      <c r="N84" s="124" t="s">
        <v>472</v>
      </c>
      <c r="O84" s="115" t="s">
        <v>530</v>
      </c>
      <c r="P84" s="132"/>
      <c r="Q84" s="115"/>
      <c r="R84" s="115"/>
      <c r="S84" s="115"/>
      <c r="T84" s="124"/>
      <c r="U84" s="115"/>
      <c r="V84" s="132">
        <v>2012.0</v>
      </c>
      <c r="W84" s="115" t="s">
        <v>539</v>
      </c>
      <c r="X84" s="133">
        <v>7.4</v>
      </c>
      <c r="Y84" s="115" t="s">
        <v>539</v>
      </c>
      <c r="Z84" s="124" t="s">
        <v>475</v>
      </c>
      <c r="AA84" s="115" t="s">
        <v>289</v>
      </c>
    </row>
    <row r="85">
      <c r="A85" s="111">
        <v>87.0</v>
      </c>
      <c r="B85" s="115" t="s">
        <v>132</v>
      </c>
      <c r="C85" s="62" t="s">
        <v>274</v>
      </c>
      <c r="D85" s="115" t="s">
        <v>540</v>
      </c>
      <c r="E85" s="62" t="s">
        <v>208</v>
      </c>
      <c r="F85" s="62" t="s">
        <v>220</v>
      </c>
      <c r="G85" s="134" t="s">
        <v>374</v>
      </c>
      <c r="H85" s="115">
        <v>2011.0</v>
      </c>
      <c r="I85" s="115">
        <v>2012.0</v>
      </c>
      <c r="J85" s="115" t="s">
        <v>541</v>
      </c>
      <c r="K85" s="115">
        <v>500000.0</v>
      </c>
      <c r="L85" s="115" t="s">
        <v>532</v>
      </c>
      <c r="M85" s="128">
        <v>2011.0</v>
      </c>
      <c r="N85" s="124" t="s">
        <v>472</v>
      </c>
      <c r="O85" s="115" t="s">
        <v>533</v>
      </c>
      <c r="P85" s="132"/>
      <c r="Q85" s="115"/>
      <c r="R85" s="115"/>
      <c r="S85" s="115"/>
      <c r="T85" s="124"/>
      <c r="U85" s="115"/>
      <c r="V85" s="132">
        <v>2012.0</v>
      </c>
      <c r="W85" s="115" t="s">
        <v>542</v>
      </c>
      <c r="X85" s="138">
        <v>0.27</v>
      </c>
      <c r="Y85" s="115" t="s">
        <v>542</v>
      </c>
      <c r="Z85" s="124" t="s">
        <v>475</v>
      </c>
      <c r="AA85" s="115" t="s">
        <v>543</v>
      </c>
    </row>
    <row r="86">
      <c r="A86" s="111">
        <v>88.0</v>
      </c>
      <c r="B86" s="115" t="s">
        <v>132</v>
      </c>
      <c r="C86" s="62" t="s">
        <v>207</v>
      </c>
      <c r="D86" s="115"/>
      <c r="E86" s="62" t="s">
        <v>231</v>
      </c>
      <c r="F86" s="62" t="s">
        <v>258</v>
      </c>
      <c r="G86" s="134"/>
      <c r="H86" s="115">
        <v>2011.0</v>
      </c>
      <c r="I86" s="115">
        <v>2012.0</v>
      </c>
      <c r="J86" s="115" t="s">
        <v>544</v>
      </c>
      <c r="K86" s="115" t="s">
        <v>545</v>
      </c>
      <c r="L86" s="115" t="s">
        <v>546</v>
      </c>
      <c r="M86" s="128">
        <v>2011.0</v>
      </c>
      <c r="N86" s="124" t="s">
        <v>472</v>
      </c>
      <c r="O86" s="115" t="s">
        <v>547</v>
      </c>
      <c r="P86" s="132"/>
      <c r="Q86" s="115"/>
      <c r="R86" s="115"/>
      <c r="S86" s="115"/>
      <c r="T86" s="124"/>
      <c r="U86" s="115"/>
      <c r="V86" s="132">
        <v>2012.0</v>
      </c>
      <c r="W86" s="115" t="s">
        <v>546</v>
      </c>
      <c r="X86" s="133">
        <v>154.0</v>
      </c>
      <c r="Y86" s="115" t="s">
        <v>546</v>
      </c>
      <c r="Z86" s="124" t="s">
        <v>475</v>
      </c>
      <c r="AA86" s="115" t="s">
        <v>548</v>
      </c>
    </row>
    <row r="87">
      <c r="A87" s="111">
        <v>89.0</v>
      </c>
      <c r="B87" s="115" t="s">
        <v>132</v>
      </c>
      <c r="C87" s="62" t="s">
        <v>207</v>
      </c>
      <c r="D87" s="115"/>
      <c r="E87" s="62" t="s">
        <v>208</v>
      </c>
      <c r="F87" s="62" t="s">
        <v>267</v>
      </c>
      <c r="G87" s="134"/>
      <c r="H87" s="115">
        <v>2010.0</v>
      </c>
      <c r="I87" s="115">
        <v>2011.0</v>
      </c>
      <c r="J87" s="115" t="s">
        <v>549</v>
      </c>
      <c r="K87" s="115">
        <v>100.0</v>
      </c>
      <c r="L87" s="115" t="s">
        <v>550</v>
      </c>
      <c r="M87" s="128">
        <v>2011.0</v>
      </c>
      <c r="N87" s="124" t="s">
        <v>472</v>
      </c>
      <c r="O87" s="115" t="s">
        <v>551</v>
      </c>
      <c r="P87" s="132"/>
      <c r="Q87" s="115"/>
      <c r="R87" s="115"/>
      <c r="S87" s="115"/>
      <c r="T87" s="124"/>
      <c r="U87" s="115"/>
      <c r="V87" s="132">
        <v>2011.0</v>
      </c>
      <c r="W87" s="115" t="s">
        <v>550</v>
      </c>
      <c r="X87" s="223">
        <v>300.0</v>
      </c>
      <c r="Y87" s="115" t="s">
        <v>550</v>
      </c>
      <c r="Z87" s="124" t="s">
        <v>472</v>
      </c>
      <c r="AA87" s="115" t="s">
        <v>551</v>
      </c>
    </row>
    <row r="88">
      <c r="A88" s="111">
        <v>90.0</v>
      </c>
      <c r="B88" s="115" t="s">
        <v>132</v>
      </c>
      <c r="C88" s="62" t="s">
        <v>207</v>
      </c>
      <c r="D88" s="115"/>
      <c r="E88" s="62" t="s">
        <v>208</v>
      </c>
      <c r="F88" s="62" t="s">
        <v>263</v>
      </c>
      <c r="G88" s="115" t="s">
        <v>280</v>
      </c>
      <c r="H88" s="115">
        <v>2012.0</v>
      </c>
      <c r="I88" s="115">
        <v>2015.0</v>
      </c>
      <c r="J88" s="115" t="s">
        <v>552</v>
      </c>
      <c r="K88" s="115"/>
      <c r="L88" s="115"/>
      <c r="M88" s="128">
        <v>2012.0</v>
      </c>
      <c r="N88" s="124" t="s">
        <v>475</v>
      </c>
      <c r="O88" s="115" t="s">
        <v>553</v>
      </c>
      <c r="P88" s="132">
        <v>2012.0</v>
      </c>
      <c r="Q88" s="115"/>
      <c r="R88" s="115">
        <v>574611.0</v>
      </c>
      <c r="S88" s="115" t="s">
        <v>554</v>
      </c>
      <c r="T88" s="124" t="s">
        <v>475</v>
      </c>
      <c r="U88" s="115" t="s">
        <v>555</v>
      </c>
      <c r="V88" s="132">
        <v>2015.0</v>
      </c>
      <c r="W88" s="115" t="s">
        <v>554</v>
      </c>
      <c r="X88" s="133">
        <f>151753+328470</f>
        <v>480223</v>
      </c>
      <c r="Y88" s="115" t="s">
        <v>554</v>
      </c>
      <c r="Z88" s="124" t="s">
        <v>556</v>
      </c>
      <c r="AA88" s="115" t="s">
        <v>557</v>
      </c>
    </row>
    <row r="89">
      <c r="A89" s="111">
        <v>91.0</v>
      </c>
      <c r="B89" s="115" t="s">
        <v>132</v>
      </c>
      <c r="C89" s="62" t="s">
        <v>219</v>
      </c>
      <c r="D89" s="115"/>
      <c r="E89" s="62" t="s">
        <v>231</v>
      </c>
      <c r="F89" s="62" t="s">
        <v>244</v>
      </c>
      <c r="G89" s="134"/>
      <c r="H89" s="115">
        <v>2012.0</v>
      </c>
      <c r="I89" s="115">
        <v>2013.0</v>
      </c>
      <c r="J89" s="115" t="s">
        <v>558</v>
      </c>
      <c r="K89" s="137">
        <v>0.95</v>
      </c>
      <c r="L89" s="115" t="s">
        <v>558</v>
      </c>
      <c r="M89" s="128">
        <v>2012.0</v>
      </c>
      <c r="N89" s="124" t="s">
        <v>475</v>
      </c>
      <c r="O89" s="115" t="s">
        <v>559</v>
      </c>
      <c r="P89" s="132">
        <v>2012.0</v>
      </c>
      <c r="Q89" s="115"/>
      <c r="R89" s="137">
        <v>0.92</v>
      </c>
      <c r="S89" s="115" t="s">
        <v>558</v>
      </c>
      <c r="T89" s="124" t="s">
        <v>475</v>
      </c>
      <c r="U89" s="115" t="s">
        <v>559</v>
      </c>
      <c r="V89" s="132">
        <v>2013.0</v>
      </c>
      <c r="W89" s="115" t="s">
        <v>558</v>
      </c>
      <c r="X89" s="138">
        <v>0.92</v>
      </c>
      <c r="Y89" s="115" t="s">
        <v>558</v>
      </c>
      <c r="Z89" s="125" t="s">
        <v>560</v>
      </c>
      <c r="AA89" s="115" t="s">
        <v>548</v>
      </c>
    </row>
    <row r="90">
      <c r="A90" s="111">
        <v>92.0</v>
      </c>
      <c r="B90" s="115" t="s">
        <v>132</v>
      </c>
      <c r="C90" s="62" t="s">
        <v>274</v>
      </c>
      <c r="D90" s="115" t="s">
        <v>561</v>
      </c>
      <c r="E90" s="90" t="s">
        <v>208</v>
      </c>
      <c r="F90" s="62" t="s">
        <v>209</v>
      </c>
      <c r="G90" s="115" t="s">
        <v>210</v>
      </c>
      <c r="H90" s="115">
        <v>2013.0</v>
      </c>
      <c r="I90" s="115">
        <v>2020.0</v>
      </c>
      <c r="J90" s="115" t="s">
        <v>562</v>
      </c>
      <c r="K90" s="137">
        <v>1.0</v>
      </c>
      <c r="L90" s="115" t="s">
        <v>563</v>
      </c>
      <c r="M90" s="128">
        <v>2013.0</v>
      </c>
      <c r="N90" s="124" t="s">
        <v>560</v>
      </c>
      <c r="O90" s="115" t="s">
        <v>564</v>
      </c>
      <c r="P90" s="132">
        <v>2013.0</v>
      </c>
      <c r="Q90" s="115"/>
      <c r="R90" s="224">
        <v>0.209</v>
      </c>
      <c r="S90" s="115" t="s">
        <v>563</v>
      </c>
      <c r="T90" s="124" t="s">
        <v>556</v>
      </c>
      <c r="U90" s="115" t="s">
        <v>565</v>
      </c>
      <c r="V90" s="132">
        <v>2020.0</v>
      </c>
      <c r="W90" s="115"/>
      <c r="X90" s="133"/>
      <c r="Y90" s="115"/>
      <c r="Z90" s="124" t="s">
        <v>492</v>
      </c>
      <c r="AA90" s="115" t="s">
        <v>566</v>
      </c>
    </row>
    <row r="91">
      <c r="A91" s="111">
        <v>93.0</v>
      </c>
      <c r="B91" s="115" t="s">
        <v>132</v>
      </c>
      <c r="C91" s="62" t="s">
        <v>219</v>
      </c>
      <c r="D91" s="115"/>
      <c r="E91" s="62" t="s">
        <v>231</v>
      </c>
      <c r="F91" s="62" t="s">
        <v>244</v>
      </c>
      <c r="G91" s="134"/>
      <c r="H91" s="115">
        <v>2013.0</v>
      </c>
      <c r="I91" s="115">
        <v>2014.0</v>
      </c>
      <c r="J91" s="115" t="s">
        <v>558</v>
      </c>
      <c r="K91" s="137">
        <v>0.95</v>
      </c>
      <c r="L91" s="115" t="s">
        <v>558</v>
      </c>
      <c r="M91" s="128">
        <v>2013.0</v>
      </c>
      <c r="N91" s="124" t="s">
        <v>560</v>
      </c>
      <c r="O91" s="115" t="s">
        <v>567</v>
      </c>
      <c r="P91" s="132">
        <v>2013.0</v>
      </c>
      <c r="Q91" s="115"/>
      <c r="R91" s="137">
        <v>0.92</v>
      </c>
      <c r="S91" s="115" t="s">
        <v>558</v>
      </c>
      <c r="T91" s="125" t="s">
        <v>560</v>
      </c>
      <c r="U91" s="115" t="s">
        <v>548</v>
      </c>
      <c r="V91" s="132">
        <v>2014.0</v>
      </c>
      <c r="W91" s="115" t="s">
        <v>558</v>
      </c>
      <c r="X91" s="138">
        <v>0.91</v>
      </c>
      <c r="Y91" s="115" t="s">
        <v>558</v>
      </c>
      <c r="Z91" s="124" t="s">
        <v>568</v>
      </c>
      <c r="AA91" s="115" t="s">
        <v>569</v>
      </c>
    </row>
    <row r="92">
      <c r="A92" s="111">
        <v>94.0</v>
      </c>
      <c r="B92" s="115" t="s">
        <v>132</v>
      </c>
      <c r="C92" s="62" t="s">
        <v>219</v>
      </c>
      <c r="D92" s="115"/>
      <c r="E92" s="62" t="s">
        <v>231</v>
      </c>
      <c r="F92" s="62" t="s">
        <v>267</v>
      </c>
      <c r="G92" s="134"/>
      <c r="H92" s="115">
        <v>2013.0</v>
      </c>
      <c r="I92" s="115">
        <v>2020.0</v>
      </c>
      <c r="J92" s="115" t="s">
        <v>570</v>
      </c>
      <c r="K92" s="137">
        <v>1.0</v>
      </c>
      <c r="L92" s="115" t="s">
        <v>571</v>
      </c>
      <c r="M92" s="128">
        <v>2013.0</v>
      </c>
      <c r="N92" s="124" t="s">
        <v>560</v>
      </c>
      <c r="O92" s="115" t="s">
        <v>572</v>
      </c>
      <c r="P92" s="132"/>
      <c r="Q92" s="115"/>
      <c r="R92" s="137"/>
      <c r="S92" s="115"/>
      <c r="T92" s="115"/>
      <c r="U92" s="115"/>
      <c r="V92" s="132">
        <v>2020.0</v>
      </c>
      <c r="W92" s="115"/>
      <c r="X92" s="138">
        <v>0.85</v>
      </c>
      <c r="Y92" s="115" t="s">
        <v>571</v>
      </c>
      <c r="Z92" s="124" t="s">
        <v>492</v>
      </c>
      <c r="AA92" s="115" t="s">
        <v>498</v>
      </c>
    </row>
    <row r="93">
      <c r="A93" s="111">
        <v>95.0</v>
      </c>
      <c r="B93" s="115" t="s">
        <v>132</v>
      </c>
      <c r="C93" s="62" t="s">
        <v>343</v>
      </c>
      <c r="D93" s="115"/>
      <c r="E93" s="62" t="s">
        <v>208</v>
      </c>
      <c r="F93" s="62" t="s">
        <v>220</v>
      </c>
      <c r="G93" s="134"/>
      <c r="H93" s="115">
        <v>2022.0</v>
      </c>
      <c r="I93" s="115">
        <v>2025.0</v>
      </c>
      <c r="J93" s="115" t="s">
        <v>573</v>
      </c>
      <c r="K93" s="137">
        <v>1.0</v>
      </c>
      <c r="L93" s="125" t="s">
        <v>574</v>
      </c>
      <c r="M93" s="128">
        <v>2022.0</v>
      </c>
      <c r="N93" s="124" t="s">
        <v>575</v>
      </c>
      <c r="O93" s="115" t="s">
        <v>576</v>
      </c>
      <c r="P93" s="132"/>
      <c r="Q93" s="115"/>
      <c r="R93" s="137"/>
      <c r="S93" s="115"/>
      <c r="T93" s="115"/>
      <c r="U93" s="115"/>
      <c r="V93" s="132"/>
      <c r="W93" s="115"/>
      <c r="X93" s="138"/>
      <c r="Y93" s="115"/>
      <c r="Z93" s="124"/>
      <c r="AA93" s="115"/>
    </row>
    <row r="94">
      <c r="A94" s="111">
        <v>96.0</v>
      </c>
      <c r="B94" s="115" t="s">
        <v>132</v>
      </c>
      <c r="C94" s="62" t="s">
        <v>343</v>
      </c>
      <c r="D94" s="115"/>
      <c r="E94" s="62" t="s">
        <v>208</v>
      </c>
      <c r="F94" s="62" t="s">
        <v>220</v>
      </c>
      <c r="G94" s="134"/>
      <c r="H94" s="115">
        <v>2022.0</v>
      </c>
      <c r="I94" s="115">
        <v>2025.0</v>
      </c>
      <c r="J94" s="115" t="s">
        <v>577</v>
      </c>
      <c r="K94" s="137">
        <v>1.0</v>
      </c>
      <c r="L94" s="115" t="s">
        <v>578</v>
      </c>
      <c r="M94" s="128">
        <v>2023.0</v>
      </c>
      <c r="N94" s="124" t="s">
        <v>579</v>
      </c>
      <c r="O94" s="115" t="s">
        <v>257</v>
      </c>
      <c r="P94" s="132"/>
      <c r="Q94" s="115"/>
      <c r="R94" s="137"/>
      <c r="S94" s="115"/>
      <c r="T94" s="115"/>
      <c r="U94" s="115"/>
      <c r="V94" s="132"/>
      <c r="W94" s="115"/>
      <c r="X94" s="138"/>
      <c r="Y94" s="115"/>
      <c r="Z94" s="124"/>
      <c r="AA94" s="115"/>
    </row>
    <row r="95">
      <c r="A95" s="111">
        <v>97.0</v>
      </c>
      <c r="B95" s="115" t="s">
        <v>132</v>
      </c>
      <c r="C95" s="62" t="s">
        <v>219</v>
      </c>
      <c r="D95" s="115"/>
      <c r="E95" s="62" t="s">
        <v>383</v>
      </c>
      <c r="F95" s="62" t="s">
        <v>267</v>
      </c>
      <c r="G95" s="134"/>
      <c r="H95" s="115">
        <v>2013.0</v>
      </c>
      <c r="I95" s="115">
        <v>2015.0</v>
      </c>
      <c r="J95" s="115" t="s">
        <v>580</v>
      </c>
      <c r="K95" s="137">
        <v>1.0</v>
      </c>
      <c r="L95" s="115" t="s">
        <v>581</v>
      </c>
      <c r="M95" s="128">
        <v>2013.0</v>
      </c>
      <c r="N95" s="124" t="s">
        <v>560</v>
      </c>
      <c r="O95" s="115" t="s">
        <v>582</v>
      </c>
      <c r="P95" s="132"/>
      <c r="Q95" s="115"/>
      <c r="R95" s="137"/>
      <c r="S95" s="115"/>
      <c r="T95" s="115"/>
      <c r="U95" s="115"/>
      <c r="V95" s="132">
        <v>2015.0</v>
      </c>
      <c r="W95" s="115"/>
      <c r="X95" s="138">
        <v>0.75</v>
      </c>
      <c r="Y95" s="115" t="s">
        <v>581</v>
      </c>
      <c r="Z95" s="124" t="s">
        <v>556</v>
      </c>
      <c r="AA95" s="115" t="s">
        <v>583</v>
      </c>
    </row>
    <row r="96">
      <c r="A96" s="111">
        <v>98.0</v>
      </c>
      <c r="B96" s="115" t="s">
        <v>132</v>
      </c>
      <c r="C96" s="62" t="s">
        <v>219</v>
      </c>
      <c r="D96" s="115"/>
      <c r="E96" s="62" t="s">
        <v>208</v>
      </c>
      <c r="F96" s="62" t="s">
        <v>220</v>
      </c>
      <c r="G96" s="134"/>
      <c r="H96" s="115">
        <v>2014.0</v>
      </c>
      <c r="I96" s="115">
        <v>2018.0</v>
      </c>
      <c r="J96" s="115" t="s">
        <v>584</v>
      </c>
      <c r="K96" s="137">
        <v>1.0</v>
      </c>
      <c r="L96" s="115" t="s">
        <v>585</v>
      </c>
      <c r="M96" s="128">
        <v>2014.0</v>
      </c>
      <c r="N96" s="124" t="s">
        <v>568</v>
      </c>
      <c r="O96" s="115" t="s">
        <v>586</v>
      </c>
      <c r="P96" s="132"/>
      <c r="Q96" s="115"/>
      <c r="R96" s="137"/>
      <c r="S96" s="115"/>
      <c r="T96" s="115"/>
      <c r="U96" s="115"/>
      <c r="V96" s="132">
        <v>2018.0</v>
      </c>
      <c r="W96" s="115" t="s">
        <v>584</v>
      </c>
      <c r="X96" s="133" t="s">
        <v>587</v>
      </c>
      <c r="Y96" s="115" t="s">
        <v>585</v>
      </c>
      <c r="Z96" s="124" t="s">
        <v>457</v>
      </c>
      <c r="AA96" s="115" t="s">
        <v>588</v>
      </c>
    </row>
    <row r="97">
      <c r="A97" s="111">
        <v>99.0</v>
      </c>
      <c r="B97" s="115" t="s">
        <v>132</v>
      </c>
      <c r="C97" s="62" t="s">
        <v>207</v>
      </c>
      <c r="D97" s="115"/>
      <c r="E97" s="62" t="s">
        <v>208</v>
      </c>
      <c r="F97" s="62" t="s">
        <v>220</v>
      </c>
      <c r="G97" s="134"/>
      <c r="H97" s="115">
        <v>2014.0</v>
      </c>
      <c r="I97" s="115">
        <v>2016.0</v>
      </c>
      <c r="J97" s="115" t="s">
        <v>589</v>
      </c>
      <c r="K97" s="137">
        <v>1.0</v>
      </c>
      <c r="L97" s="115" t="s">
        <v>590</v>
      </c>
      <c r="M97" s="128">
        <v>2014.0</v>
      </c>
      <c r="N97" s="124" t="s">
        <v>568</v>
      </c>
      <c r="O97" s="115" t="s">
        <v>591</v>
      </c>
      <c r="P97" s="225">
        <v>2016.0</v>
      </c>
      <c r="Q97" s="226" t="s">
        <v>589</v>
      </c>
      <c r="R97" s="227">
        <v>1.0</v>
      </c>
      <c r="S97" s="226" t="s">
        <v>590</v>
      </c>
      <c r="T97" s="228" t="s">
        <v>592</v>
      </c>
      <c r="U97" s="229" t="s">
        <v>501</v>
      </c>
      <c r="V97" s="132"/>
      <c r="W97" s="115"/>
      <c r="X97" s="133"/>
      <c r="Y97" s="115"/>
      <c r="Z97" s="124"/>
      <c r="AA97" s="115"/>
    </row>
    <row r="98">
      <c r="A98" s="111">
        <v>100.0</v>
      </c>
      <c r="B98" s="115" t="s">
        <v>132</v>
      </c>
      <c r="C98" s="62" t="s">
        <v>207</v>
      </c>
      <c r="D98" s="115"/>
      <c r="E98" s="62" t="s">
        <v>208</v>
      </c>
      <c r="F98" s="62" t="s">
        <v>461</v>
      </c>
      <c r="G98" s="134"/>
      <c r="H98" s="115">
        <v>2014.0</v>
      </c>
      <c r="I98" s="115">
        <v>2015.0</v>
      </c>
      <c r="J98" s="115" t="s">
        <v>593</v>
      </c>
      <c r="K98" s="115">
        <v>1.2</v>
      </c>
      <c r="L98" s="115" t="s">
        <v>594</v>
      </c>
      <c r="M98" s="128">
        <v>2014.0</v>
      </c>
      <c r="N98" s="124" t="s">
        <v>568</v>
      </c>
      <c r="O98" s="115" t="s">
        <v>595</v>
      </c>
      <c r="P98" s="132"/>
      <c r="Q98" s="115"/>
      <c r="R98" s="137"/>
      <c r="S98" s="115"/>
      <c r="T98" s="115"/>
      <c r="U98" s="115"/>
      <c r="V98" s="132">
        <v>2015.0</v>
      </c>
      <c r="W98" s="115" t="s">
        <v>593</v>
      </c>
      <c r="X98" s="133">
        <v>1.3</v>
      </c>
      <c r="Y98" s="115" t="s">
        <v>594</v>
      </c>
      <c r="Z98" s="124" t="s">
        <v>556</v>
      </c>
      <c r="AA98" s="115" t="s">
        <v>596</v>
      </c>
    </row>
    <row r="99">
      <c r="A99" s="111">
        <v>101.0</v>
      </c>
      <c r="B99" s="230" t="s">
        <v>132</v>
      </c>
      <c r="C99" s="231" t="s">
        <v>343</v>
      </c>
      <c r="D99" s="127"/>
      <c r="E99" s="62" t="s">
        <v>208</v>
      </c>
      <c r="F99" s="62" t="s">
        <v>263</v>
      </c>
      <c r="G99" s="115" t="s">
        <v>280</v>
      </c>
      <c r="H99" s="115">
        <v>2019.0</v>
      </c>
      <c r="I99" s="115">
        <v>2025.0</v>
      </c>
      <c r="J99" s="115" t="s">
        <v>597</v>
      </c>
      <c r="K99" s="137">
        <v>-0.3</v>
      </c>
      <c r="L99" s="115" t="s">
        <v>598</v>
      </c>
      <c r="M99" s="128">
        <v>2019.0</v>
      </c>
      <c r="N99" s="124" t="s">
        <v>459</v>
      </c>
      <c r="O99" s="115" t="s">
        <v>599</v>
      </c>
      <c r="P99" s="132">
        <v>2018.0</v>
      </c>
      <c r="Q99" s="115" t="s">
        <v>600</v>
      </c>
      <c r="R99" s="115">
        <v>587000.0</v>
      </c>
      <c r="S99" s="115" t="s">
        <v>601</v>
      </c>
      <c r="T99" s="115" t="s">
        <v>459</v>
      </c>
      <c r="U99" s="115" t="s">
        <v>602</v>
      </c>
      <c r="V99" s="132"/>
      <c r="W99" s="115"/>
      <c r="X99" s="133"/>
      <c r="Y99" s="115"/>
      <c r="Z99" s="124"/>
      <c r="AA99" s="115"/>
    </row>
    <row r="100">
      <c r="A100" s="111">
        <v>102.0</v>
      </c>
      <c r="B100" s="230" t="s">
        <v>132</v>
      </c>
      <c r="C100" s="231" t="s">
        <v>343</v>
      </c>
      <c r="D100" s="127"/>
      <c r="E100" s="62" t="s">
        <v>208</v>
      </c>
      <c r="F100" s="62" t="s">
        <v>244</v>
      </c>
      <c r="G100" s="134"/>
      <c r="H100" s="115">
        <v>2019.0</v>
      </c>
      <c r="I100" s="115">
        <v>2025.0</v>
      </c>
      <c r="J100" s="115" t="s">
        <v>603</v>
      </c>
      <c r="K100" s="137">
        <v>-0.25</v>
      </c>
      <c r="L100" s="115"/>
      <c r="M100" s="128">
        <v>2019.0</v>
      </c>
      <c r="N100" s="124" t="s">
        <v>459</v>
      </c>
      <c r="O100" s="115" t="s">
        <v>521</v>
      </c>
      <c r="P100" s="132"/>
      <c r="Q100" s="115"/>
      <c r="R100" s="137"/>
      <c r="S100" s="115"/>
      <c r="T100" s="115"/>
      <c r="U100" s="115"/>
      <c r="V100" s="132"/>
      <c r="W100" s="115"/>
      <c r="X100" s="133"/>
      <c r="Y100" s="115"/>
      <c r="Z100" s="124"/>
      <c r="AA100" s="115"/>
    </row>
    <row r="101">
      <c r="A101" s="111">
        <v>103.0</v>
      </c>
      <c r="B101" s="230" t="s">
        <v>132</v>
      </c>
      <c r="C101" s="231" t="s">
        <v>343</v>
      </c>
      <c r="D101" s="127"/>
      <c r="E101" s="62" t="s">
        <v>231</v>
      </c>
      <c r="F101" s="62" t="s">
        <v>244</v>
      </c>
      <c r="G101" s="134"/>
      <c r="H101" s="115">
        <v>2019.0</v>
      </c>
      <c r="I101" s="115">
        <v>2025.0</v>
      </c>
      <c r="J101" s="115" t="s">
        <v>604</v>
      </c>
      <c r="K101" s="137">
        <v>1.0</v>
      </c>
      <c r="L101" s="115"/>
      <c r="M101" s="128">
        <v>2019.0</v>
      </c>
      <c r="N101" s="124" t="s">
        <v>459</v>
      </c>
      <c r="O101" s="115" t="s">
        <v>521</v>
      </c>
      <c r="P101" s="132"/>
      <c r="Q101" s="115"/>
      <c r="R101" s="137"/>
      <c r="S101" s="115"/>
      <c r="T101" s="115"/>
      <c r="U101" s="115"/>
      <c r="V101" s="132"/>
      <c r="W101" s="115"/>
      <c r="X101" s="133"/>
      <c r="Y101" s="115"/>
      <c r="Z101" s="124"/>
      <c r="AA101" s="115"/>
    </row>
    <row r="102">
      <c r="A102" s="111">
        <v>104.0</v>
      </c>
      <c r="B102" s="230" t="s">
        <v>132</v>
      </c>
      <c r="C102" s="231" t="s">
        <v>343</v>
      </c>
      <c r="D102" s="127"/>
      <c r="E102" s="62" t="s">
        <v>231</v>
      </c>
      <c r="F102" s="62" t="s">
        <v>244</v>
      </c>
      <c r="G102" s="134"/>
      <c r="H102" s="115">
        <v>2019.0</v>
      </c>
      <c r="I102" s="115">
        <v>2030.0</v>
      </c>
      <c r="J102" s="115" t="s">
        <v>605</v>
      </c>
      <c r="K102" s="137">
        <v>1.0</v>
      </c>
      <c r="L102" s="115"/>
      <c r="M102" s="128">
        <v>2019.0</v>
      </c>
      <c r="N102" s="124" t="s">
        <v>459</v>
      </c>
      <c r="O102" s="115" t="s">
        <v>521</v>
      </c>
      <c r="P102" s="132"/>
      <c r="Q102" s="115"/>
      <c r="R102" s="137"/>
      <c r="S102" s="115"/>
      <c r="T102" s="115"/>
      <c r="U102" s="115"/>
      <c r="V102" s="132"/>
      <c r="W102" s="115"/>
      <c r="X102" s="133"/>
      <c r="Y102" s="115"/>
      <c r="Z102" s="124"/>
      <c r="AA102" s="115"/>
    </row>
    <row r="103">
      <c r="A103" s="111">
        <v>105.0</v>
      </c>
      <c r="B103" s="230" t="s">
        <v>132</v>
      </c>
      <c r="C103" s="231" t="s">
        <v>343</v>
      </c>
      <c r="D103" s="127"/>
      <c r="E103" s="62" t="s">
        <v>231</v>
      </c>
      <c r="F103" s="62" t="s">
        <v>244</v>
      </c>
      <c r="G103" s="134"/>
      <c r="H103" s="115">
        <v>2019.0</v>
      </c>
      <c r="I103" s="115">
        <v>2025.0</v>
      </c>
      <c r="J103" s="115" t="s">
        <v>606</v>
      </c>
      <c r="K103" s="137">
        <v>1.0</v>
      </c>
      <c r="L103" s="115"/>
      <c r="M103" s="128">
        <v>2019.0</v>
      </c>
      <c r="N103" s="124" t="s">
        <v>459</v>
      </c>
      <c r="O103" s="115" t="s">
        <v>521</v>
      </c>
      <c r="P103" s="132"/>
      <c r="Q103" s="115"/>
      <c r="R103" s="137"/>
      <c r="S103" s="115"/>
      <c r="T103" s="115"/>
      <c r="U103" s="115"/>
      <c r="V103" s="132"/>
      <c r="W103" s="115"/>
      <c r="X103" s="133"/>
      <c r="Y103" s="115"/>
      <c r="Z103" s="124"/>
      <c r="AA103" s="115"/>
    </row>
    <row r="104">
      <c r="A104" s="111">
        <v>106.0</v>
      </c>
      <c r="B104" s="230" t="s">
        <v>132</v>
      </c>
      <c r="C104" s="231" t="s">
        <v>343</v>
      </c>
      <c r="D104" s="127"/>
      <c r="E104" s="62" t="s">
        <v>231</v>
      </c>
      <c r="F104" s="62" t="s">
        <v>244</v>
      </c>
      <c r="G104" s="134"/>
      <c r="H104" s="115">
        <v>2019.0</v>
      </c>
      <c r="I104" s="115">
        <v>2025.0</v>
      </c>
      <c r="J104" s="115" t="s">
        <v>607</v>
      </c>
      <c r="K104" s="137">
        <v>0.25</v>
      </c>
      <c r="L104" s="115"/>
      <c r="M104" s="128">
        <v>2019.0</v>
      </c>
      <c r="N104" s="124" t="s">
        <v>459</v>
      </c>
      <c r="O104" s="115" t="s">
        <v>521</v>
      </c>
      <c r="P104" s="132"/>
      <c r="Q104" s="115"/>
      <c r="R104" s="137"/>
      <c r="S104" s="115"/>
      <c r="T104" s="115"/>
      <c r="U104" s="115"/>
      <c r="V104" s="132"/>
      <c r="W104" s="115"/>
      <c r="X104" s="133"/>
      <c r="Y104" s="115"/>
      <c r="Z104" s="124"/>
      <c r="AA104" s="115"/>
    </row>
    <row r="105">
      <c r="A105" s="111">
        <v>107.0</v>
      </c>
      <c r="B105" s="230" t="s">
        <v>132</v>
      </c>
      <c r="C105" s="231" t="s">
        <v>343</v>
      </c>
      <c r="D105" s="127"/>
      <c r="E105" s="62" t="s">
        <v>231</v>
      </c>
      <c r="F105" s="62" t="s">
        <v>258</v>
      </c>
      <c r="G105" s="134"/>
      <c r="H105" s="115">
        <v>2024.0</v>
      </c>
      <c r="I105" s="115">
        <v>2026.0</v>
      </c>
      <c r="J105" s="115" t="s">
        <v>608</v>
      </c>
      <c r="K105" s="137"/>
      <c r="L105" s="115"/>
      <c r="M105" s="128">
        <v>2024.0</v>
      </c>
      <c r="N105" s="124" t="s">
        <v>609</v>
      </c>
      <c r="O105" s="115" t="s">
        <v>610</v>
      </c>
      <c r="P105" s="132"/>
      <c r="Q105" s="115"/>
      <c r="R105" s="137"/>
      <c r="S105" s="115"/>
      <c r="T105" s="115"/>
      <c r="U105" s="115"/>
      <c r="V105" s="132"/>
      <c r="W105" s="115"/>
      <c r="X105" s="133"/>
      <c r="Y105" s="115"/>
      <c r="Z105" s="124"/>
      <c r="AA105" s="115"/>
    </row>
    <row r="106">
      <c r="A106" s="111">
        <v>108.0</v>
      </c>
      <c r="B106" s="115" t="s">
        <v>132</v>
      </c>
      <c r="C106" s="62" t="s">
        <v>219</v>
      </c>
      <c r="D106" s="115"/>
      <c r="E106" s="62" t="s">
        <v>231</v>
      </c>
      <c r="F106" s="62" t="s">
        <v>244</v>
      </c>
      <c r="G106" s="134"/>
      <c r="H106" s="115">
        <v>2014.0</v>
      </c>
      <c r="I106" s="115">
        <v>2015.0</v>
      </c>
      <c r="J106" s="115" t="s">
        <v>558</v>
      </c>
      <c r="K106" s="137">
        <v>0.91</v>
      </c>
      <c r="L106" s="115" t="s">
        <v>558</v>
      </c>
      <c r="M106" s="128">
        <v>2014.0</v>
      </c>
      <c r="N106" s="124" t="s">
        <v>568</v>
      </c>
      <c r="O106" s="115" t="s">
        <v>569</v>
      </c>
      <c r="P106" s="132"/>
      <c r="Q106" s="115"/>
      <c r="R106" s="137"/>
      <c r="S106" s="115"/>
      <c r="T106" s="115"/>
      <c r="U106" s="115"/>
      <c r="V106" s="132">
        <v>2014.0</v>
      </c>
      <c r="W106" s="115" t="s">
        <v>558</v>
      </c>
      <c r="X106" s="138">
        <v>0.94</v>
      </c>
      <c r="Y106" s="115" t="s">
        <v>558</v>
      </c>
      <c r="Z106" s="124" t="s">
        <v>556</v>
      </c>
      <c r="AA106" s="115" t="s">
        <v>338</v>
      </c>
    </row>
    <row r="107">
      <c r="A107" s="111">
        <v>109.0</v>
      </c>
      <c r="B107" s="115" t="s">
        <v>132</v>
      </c>
      <c r="C107" s="62" t="s">
        <v>207</v>
      </c>
      <c r="D107" s="115"/>
      <c r="E107" s="62" t="s">
        <v>231</v>
      </c>
      <c r="F107" s="62" t="s">
        <v>220</v>
      </c>
      <c r="G107" s="134"/>
      <c r="H107" s="115">
        <v>2014.0</v>
      </c>
      <c r="I107" s="115">
        <v>2015.0</v>
      </c>
      <c r="J107" s="115" t="s">
        <v>611</v>
      </c>
      <c r="K107" s="115">
        <v>60.0</v>
      </c>
      <c r="L107" s="115" t="s">
        <v>612</v>
      </c>
      <c r="M107" s="128">
        <v>2014.0</v>
      </c>
      <c r="N107" s="124" t="s">
        <v>568</v>
      </c>
      <c r="O107" s="115" t="s">
        <v>569</v>
      </c>
      <c r="P107" s="132">
        <v>2014.0</v>
      </c>
      <c r="Q107" s="115" t="s">
        <v>611</v>
      </c>
      <c r="R107" s="115">
        <v>39.7</v>
      </c>
      <c r="S107" s="115" t="s">
        <v>612</v>
      </c>
      <c r="T107" s="124" t="s">
        <v>568</v>
      </c>
      <c r="U107" s="115" t="s">
        <v>569</v>
      </c>
      <c r="V107" s="132">
        <v>2015.0</v>
      </c>
      <c r="W107" s="115" t="s">
        <v>611</v>
      </c>
      <c r="X107" s="133">
        <v>90.5</v>
      </c>
      <c r="Y107" s="115" t="s">
        <v>612</v>
      </c>
      <c r="Z107" s="124" t="s">
        <v>556</v>
      </c>
      <c r="AA107" s="115" t="s">
        <v>596</v>
      </c>
    </row>
    <row r="108">
      <c r="A108" s="111">
        <v>110.0</v>
      </c>
      <c r="B108" s="115" t="s">
        <v>132</v>
      </c>
      <c r="C108" s="62" t="s">
        <v>343</v>
      </c>
      <c r="D108" s="115"/>
      <c r="E108" s="62" t="s">
        <v>231</v>
      </c>
      <c r="F108" s="62" t="s">
        <v>244</v>
      </c>
      <c r="G108" s="134"/>
      <c r="H108" s="115">
        <v>2016.0</v>
      </c>
      <c r="I108" s="115">
        <v>2025.0</v>
      </c>
      <c r="J108" s="115" t="s">
        <v>613</v>
      </c>
      <c r="K108" s="137">
        <v>0.8</v>
      </c>
      <c r="L108" s="115" t="s">
        <v>614</v>
      </c>
      <c r="M108" s="128">
        <v>2016.0</v>
      </c>
      <c r="N108" s="124" t="s">
        <v>489</v>
      </c>
      <c r="O108" s="115" t="s">
        <v>501</v>
      </c>
      <c r="P108" s="132"/>
      <c r="Q108" s="115"/>
      <c r="R108" s="115"/>
      <c r="S108" s="115"/>
      <c r="T108" s="124"/>
      <c r="U108" s="115"/>
      <c r="V108" s="132"/>
      <c r="W108" s="115"/>
      <c r="X108" s="133"/>
      <c r="Y108" s="115"/>
      <c r="Z108" s="124"/>
      <c r="AA108" s="115"/>
    </row>
    <row r="109">
      <c r="A109" s="111">
        <v>111.0</v>
      </c>
      <c r="B109" s="115" t="s">
        <v>132</v>
      </c>
      <c r="C109" s="62" t="s">
        <v>343</v>
      </c>
      <c r="D109" s="115"/>
      <c r="E109" s="62" t="s">
        <v>231</v>
      </c>
      <c r="F109" s="62" t="s">
        <v>220</v>
      </c>
      <c r="G109" s="134"/>
      <c r="H109" s="115">
        <v>2016.0</v>
      </c>
      <c r="I109" s="115">
        <v>2025.0</v>
      </c>
      <c r="J109" s="115" t="s">
        <v>615</v>
      </c>
      <c r="K109" s="137">
        <v>1.0</v>
      </c>
      <c r="L109" s="115" t="s">
        <v>616</v>
      </c>
      <c r="M109" s="128">
        <v>2016.0</v>
      </c>
      <c r="N109" s="124" t="s">
        <v>489</v>
      </c>
      <c r="O109" s="115" t="s">
        <v>501</v>
      </c>
      <c r="P109" s="132">
        <v>2014.0</v>
      </c>
      <c r="Q109" s="115"/>
      <c r="R109" s="137">
        <v>0.13</v>
      </c>
      <c r="S109" s="115" t="s">
        <v>616</v>
      </c>
      <c r="T109" s="124" t="s">
        <v>489</v>
      </c>
      <c r="U109" s="115" t="s">
        <v>502</v>
      </c>
      <c r="V109" s="132"/>
      <c r="W109" s="115"/>
      <c r="X109" s="133"/>
      <c r="Y109" s="115"/>
      <c r="Z109" s="124"/>
      <c r="AA109" s="115"/>
    </row>
    <row r="110">
      <c r="A110" s="111">
        <v>112.0</v>
      </c>
      <c r="B110" s="115" t="s">
        <v>132</v>
      </c>
      <c r="C110" s="62" t="s">
        <v>219</v>
      </c>
      <c r="D110" s="115"/>
      <c r="E110" s="62" t="s">
        <v>208</v>
      </c>
      <c r="F110" s="62" t="s">
        <v>220</v>
      </c>
      <c r="G110" s="134"/>
      <c r="H110" s="115">
        <v>2016.0</v>
      </c>
      <c r="I110" s="115">
        <v>2022.0</v>
      </c>
      <c r="J110" s="115" t="s">
        <v>617</v>
      </c>
      <c r="K110" s="137">
        <v>1.0</v>
      </c>
      <c r="L110" s="125" t="s">
        <v>574</v>
      </c>
      <c r="M110" s="128">
        <v>2016.0</v>
      </c>
      <c r="N110" s="124" t="s">
        <v>489</v>
      </c>
      <c r="O110" s="115" t="s">
        <v>618</v>
      </c>
      <c r="P110" s="132"/>
      <c r="Q110" s="115"/>
      <c r="R110" s="115"/>
      <c r="S110" s="115"/>
      <c r="T110" s="124"/>
      <c r="U110" s="115"/>
      <c r="V110" s="132">
        <v>2022.0</v>
      </c>
      <c r="W110" s="115" t="s">
        <v>573</v>
      </c>
      <c r="X110" s="138">
        <v>0.57</v>
      </c>
      <c r="Y110" s="125" t="s">
        <v>574</v>
      </c>
      <c r="Z110" s="124" t="s">
        <v>575</v>
      </c>
      <c r="AA110" s="115" t="s">
        <v>576</v>
      </c>
    </row>
    <row r="111">
      <c r="A111" s="111">
        <v>113.0</v>
      </c>
      <c r="B111" s="115" t="s">
        <v>132</v>
      </c>
      <c r="C111" s="62" t="s">
        <v>219</v>
      </c>
      <c r="D111" s="115"/>
      <c r="E111" s="62" t="s">
        <v>208</v>
      </c>
      <c r="F111" s="62" t="s">
        <v>244</v>
      </c>
      <c r="G111" s="134"/>
      <c r="H111" s="115">
        <v>2016.0</v>
      </c>
      <c r="I111" s="115">
        <v>2020.0</v>
      </c>
      <c r="J111" s="115" t="s">
        <v>619</v>
      </c>
      <c r="K111" s="115">
        <v>25000.0</v>
      </c>
      <c r="L111" s="115" t="s">
        <v>620</v>
      </c>
      <c r="M111" s="128">
        <v>2016.0</v>
      </c>
      <c r="N111" s="124" t="s">
        <v>489</v>
      </c>
      <c r="O111" s="115" t="s">
        <v>479</v>
      </c>
      <c r="P111" s="132">
        <v>2014.0</v>
      </c>
      <c r="R111" s="115">
        <v>7684.0</v>
      </c>
      <c r="S111" s="115" t="s">
        <v>620</v>
      </c>
      <c r="T111" s="124" t="s">
        <v>489</v>
      </c>
      <c r="U111" s="115" t="s">
        <v>502</v>
      </c>
      <c r="V111" s="132">
        <v>2020.0</v>
      </c>
      <c r="W111" s="115"/>
      <c r="X111" s="133">
        <v>18800.0</v>
      </c>
      <c r="Y111" s="115" t="s">
        <v>620</v>
      </c>
      <c r="Z111" s="124" t="s">
        <v>492</v>
      </c>
      <c r="AA111" s="115" t="s">
        <v>621</v>
      </c>
    </row>
    <row r="112">
      <c r="A112" s="111">
        <v>114.0</v>
      </c>
      <c r="B112" s="115" t="s">
        <v>132</v>
      </c>
      <c r="C112" s="62" t="s">
        <v>343</v>
      </c>
      <c r="D112" s="115"/>
      <c r="E112" s="62" t="s">
        <v>231</v>
      </c>
      <c r="F112" s="62" t="s">
        <v>263</v>
      </c>
      <c r="G112" s="115" t="s">
        <v>280</v>
      </c>
      <c r="H112" s="115">
        <v>2016.0</v>
      </c>
      <c r="I112" s="115">
        <v>2040.0</v>
      </c>
      <c r="J112" s="115" t="s">
        <v>622</v>
      </c>
      <c r="K112" s="115"/>
      <c r="L112" s="115"/>
      <c r="M112" s="128">
        <v>2016.0</v>
      </c>
      <c r="N112" s="124" t="s">
        <v>489</v>
      </c>
      <c r="O112" s="115" t="s">
        <v>623</v>
      </c>
      <c r="P112" s="132"/>
      <c r="Q112" s="115"/>
      <c r="R112" s="115"/>
      <c r="S112" s="115"/>
      <c r="T112" s="124"/>
      <c r="U112" s="115"/>
      <c r="V112" s="132"/>
      <c r="W112" s="115"/>
      <c r="X112" s="133"/>
      <c r="Y112" s="115"/>
      <c r="Z112" s="124"/>
      <c r="AA112" s="115"/>
    </row>
    <row r="113">
      <c r="A113" s="111">
        <v>115.0</v>
      </c>
      <c r="B113" s="115" t="s">
        <v>132</v>
      </c>
      <c r="C113" s="62" t="s">
        <v>343</v>
      </c>
      <c r="D113" s="115"/>
      <c r="E113" s="62" t="s">
        <v>208</v>
      </c>
      <c r="F113" s="62" t="s">
        <v>258</v>
      </c>
      <c r="G113" s="134"/>
      <c r="H113" s="115">
        <v>2016.0</v>
      </c>
      <c r="I113" s="115">
        <v>2030.0</v>
      </c>
      <c r="J113" s="115" t="s">
        <v>624</v>
      </c>
      <c r="K113" s="137">
        <v>-0.36</v>
      </c>
      <c r="L113" s="115" t="s">
        <v>625</v>
      </c>
      <c r="M113" s="128">
        <v>2024.0</v>
      </c>
      <c r="N113" s="124" t="s">
        <v>609</v>
      </c>
      <c r="O113" s="115" t="s">
        <v>626</v>
      </c>
      <c r="P113" s="132">
        <v>2016.0</v>
      </c>
      <c r="Q113" s="115"/>
      <c r="R113" s="115"/>
      <c r="S113" s="115"/>
      <c r="T113" s="124"/>
      <c r="U113" s="115"/>
      <c r="V113" s="132"/>
      <c r="W113" s="115"/>
      <c r="X113" s="133"/>
      <c r="Y113" s="115"/>
      <c r="Z113" s="124"/>
      <c r="AA113" s="115"/>
    </row>
    <row r="114">
      <c r="A114" s="111">
        <v>116.0</v>
      </c>
      <c r="B114" s="115" t="s">
        <v>132</v>
      </c>
      <c r="C114" s="62" t="s">
        <v>219</v>
      </c>
      <c r="D114" s="115"/>
      <c r="E114" s="62" t="s">
        <v>231</v>
      </c>
      <c r="F114" s="62" t="s">
        <v>258</v>
      </c>
      <c r="G114" s="134"/>
      <c r="H114" s="115">
        <v>2016.0</v>
      </c>
      <c r="I114" s="115">
        <v>2018.0</v>
      </c>
      <c r="J114" s="115" t="s">
        <v>627</v>
      </c>
      <c r="K114" s="137">
        <v>0.2</v>
      </c>
      <c r="L114" s="232" t="s">
        <v>456</v>
      </c>
      <c r="M114" s="128">
        <v>2016.0</v>
      </c>
      <c r="N114" s="124" t="s">
        <v>489</v>
      </c>
      <c r="O114" s="115" t="s">
        <v>623</v>
      </c>
      <c r="P114" s="132"/>
      <c r="Q114" s="115"/>
      <c r="R114" s="115"/>
      <c r="S114" s="115"/>
      <c r="T114" s="124"/>
      <c r="U114" s="115"/>
      <c r="V114" s="132">
        <v>2018.0</v>
      </c>
      <c r="W114" s="115" t="s">
        <v>627</v>
      </c>
      <c r="X114" s="138">
        <v>0.18</v>
      </c>
      <c r="Y114" s="115" t="s">
        <v>458</v>
      </c>
      <c r="Z114" s="124" t="s">
        <v>457</v>
      </c>
      <c r="AA114" s="115" t="s">
        <v>628</v>
      </c>
    </row>
    <row r="115">
      <c r="A115" s="111">
        <v>117.0</v>
      </c>
      <c r="B115" s="115" t="s">
        <v>132</v>
      </c>
      <c r="C115" s="62" t="s">
        <v>343</v>
      </c>
      <c r="D115" s="115"/>
      <c r="E115" s="62" t="s">
        <v>208</v>
      </c>
      <c r="F115" s="62" t="s">
        <v>263</v>
      </c>
      <c r="G115" s="115" t="s">
        <v>264</v>
      </c>
      <c r="H115" s="115">
        <v>2016.0</v>
      </c>
      <c r="I115" s="115">
        <v>2025.0</v>
      </c>
      <c r="J115" s="115" t="s">
        <v>629</v>
      </c>
      <c r="K115" s="137">
        <v>0.3</v>
      </c>
      <c r="L115" s="115" t="s">
        <v>630</v>
      </c>
      <c r="M115" s="128">
        <v>2016.0</v>
      </c>
      <c r="N115" s="124" t="s">
        <v>489</v>
      </c>
      <c r="O115" s="115" t="s">
        <v>623</v>
      </c>
      <c r="P115" s="132">
        <v>2017.0</v>
      </c>
      <c r="Q115" s="115"/>
      <c r="R115" s="115"/>
      <c r="S115" s="115"/>
      <c r="T115" s="124"/>
      <c r="U115" s="115"/>
      <c r="V115" s="132"/>
      <c r="W115" s="115"/>
      <c r="X115" s="133"/>
      <c r="Y115" s="115"/>
      <c r="Z115" s="124"/>
      <c r="AA115" s="115"/>
    </row>
    <row r="116">
      <c r="A116" s="111">
        <v>118.0</v>
      </c>
      <c r="B116" s="115" t="s">
        <v>132</v>
      </c>
      <c r="C116" s="62" t="s">
        <v>343</v>
      </c>
      <c r="D116" s="115"/>
      <c r="E116" s="62" t="s">
        <v>231</v>
      </c>
      <c r="F116" s="62" t="s">
        <v>258</v>
      </c>
      <c r="G116" s="134"/>
      <c r="H116" s="115">
        <v>2016.0</v>
      </c>
      <c r="I116" s="115">
        <v>2025.0</v>
      </c>
      <c r="J116" s="115" t="s">
        <v>631</v>
      </c>
      <c r="K116" s="137">
        <v>1.0</v>
      </c>
      <c r="L116" s="115" t="s">
        <v>632</v>
      </c>
      <c r="M116" s="128">
        <v>2016.0</v>
      </c>
      <c r="N116" s="124" t="s">
        <v>489</v>
      </c>
      <c r="O116" s="115" t="s">
        <v>623</v>
      </c>
      <c r="P116" s="132"/>
      <c r="Q116" s="115"/>
      <c r="R116" s="115"/>
      <c r="S116" s="115"/>
      <c r="T116" s="124"/>
      <c r="U116" s="115"/>
      <c r="V116" s="132"/>
      <c r="W116" s="115"/>
      <c r="X116" s="133"/>
      <c r="Y116" s="115"/>
      <c r="Z116" s="124"/>
      <c r="AA116" s="115"/>
    </row>
    <row r="117">
      <c r="A117" s="111">
        <v>119.0</v>
      </c>
      <c r="B117" s="115" t="s">
        <v>132</v>
      </c>
      <c r="C117" s="62" t="s">
        <v>343</v>
      </c>
      <c r="D117" s="115"/>
      <c r="E117" s="62" t="s">
        <v>208</v>
      </c>
      <c r="F117" s="62" t="s">
        <v>258</v>
      </c>
      <c r="G117" s="115" t="s">
        <v>494</v>
      </c>
      <c r="H117" s="115">
        <v>2023.0</v>
      </c>
      <c r="I117" s="115">
        <v>2030.0</v>
      </c>
      <c r="J117" s="115" t="s">
        <v>633</v>
      </c>
      <c r="K117" s="137">
        <v>0.5</v>
      </c>
      <c r="L117" s="115" t="s">
        <v>633</v>
      </c>
      <c r="M117" s="128">
        <v>2023.0</v>
      </c>
      <c r="N117" s="124" t="s">
        <v>634</v>
      </c>
      <c r="O117" s="115" t="s">
        <v>565</v>
      </c>
      <c r="P117" s="132"/>
      <c r="Q117" s="115"/>
      <c r="R117" s="115"/>
      <c r="S117" s="115"/>
      <c r="T117" s="124"/>
      <c r="U117" s="115"/>
      <c r="V117" s="132"/>
      <c r="W117" s="115"/>
      <c r="X117" s="133"/>
      <c r="Y117" s="115"/>
      <c r="Z117" s="124"/>
      <c r="AA117" s="115"/>
    </row>
    <row r="118">
      <c r="A118" s="111">
        <v>120.0</v>
      </c>
      <c r="B118" s="230" t="s">
        <v>132</v>
      </c>
      <c r="C118" s="231" t="s">
        <v>343</v>
      </c>
      <c r="D118" s="127"/>
      <c r="E118" s="62" t="s">
        <v>208</v>
      </c>
      <c r="F118" s="62" t="s">
        <v>263</v>
      </c>
      <c r="G118" s="115" t="s">
        <v>280</v>
      </c>
      <c r="H118" s="115">
        <v>2019.0</v>
      </c>
      <c r="I118" s="115">
        <v>2030.0</v>
      </c>
      <c r="J118" s="115" t="s">
        <v>635</v>
      </c>
      <c r="K118" s="137">
        <v>-0.4</v>
      </c>
      <c r="L118" s="115" t="s">
        <v>636</v>
      </c>
      <c r="M118" s="128">
        <v>2019.0</v>
      </c>
      <c r="N118" s="124" t="s">
        <v>459</v>
      </c>
      <c r="O118" s="115" t="s">
        <v>637</v>
      </c>
      <c r="P118" s="132">
        <v>2017.0</v>
      </c>
      <c r="Q118" s="115"/>
      <c r="R118" s="115"/>
      <c r="S118" s="115"/>
      <c r="T118" s="124"/>
      <c r="U118" s="115"/>
      <c r="V118" s="132"/>
      <c r="W118" s="115"/>
      <c r="X118" s="133"/>
      <c r="Y118" s="115"/>
      <c r="Z118" s="124"/>
      <c r="AA118" s="115"/>
    </row>
    <row r="119">
      <c r="A119" s="111">
        <v>121.0</v>
      </c>
      <c r="B119" s="230" t="s">
        <v>132</v>
      </c>
      <c r="C119" s="231" t="s">
        <v>343</v>
      </c>
      <c r="D119" s="127"/>
      <c r="E119" s="62" t="s">
        <v>208</v>
      </c>
      <c r="F119" s="62" t="s">
        <v>263</v>
      </c>
      <c r="G119" s="115" t="s">
        <v>264</v>
      </c>
      <c r="H119" s="115">
        <v>2019.0</v>
      </c>
      <c r="I119" s="115">
        <v>2030.0</v>
      </c>
      <c r="J119" s="115" t="s">
        <v>638</v>
      </c>
      <c r="K119" s="137">
        <v>-0.59</v>
      </c>
      <c r="L119" s="115" t="s">
        <v>639</v>
      </c>
      <c r="M119" s="128">
        <v>2019.0</v>
      </c>
      <c r="N119" s="124" t="s">
        <v>459</v>
      </c>
      <c r="O119" s="115" t="s">
        <v>637</v>
      </c>
      <c r="P119" s="132"/>
      <c r="Q119" s="115"/>
      <c r="R119" s="115"/>
      <c r="S119" s="115"/>
      <c r="T119" s="124"/>
      <c r="U119" s="115"/>
      <c r="V119" s="132"/>
      <c r="W119" s="115"/>
      <c r="X119" s="133"/>
      <c r="Y119" s="115"/>
      <c r="Z119" s="124"/>
      <c r="AA119" s="115"/>
    </row>
    <row r="120">
      <c r="A120" s="111">
        <v>122.0</v>
      </c>
      <c r="B120" s="230" t="s">
        <v>132</v>
      </c>
      <c r="C120" s="231" t="s">
        <v>343</v>
      </c>
      <c r="D120" s="127"/>
      <c r="E120" s="62" t="s">
        <v>208</v>
      </c>
      <c r="F120" s="62" t="s">
        <v>263</v>
      </c>
      <c r="G120" s="115" t="s">
        <v>280</v>
      </c>
      <c r="H120" s="115">
        <v>2021.0</v>
      </c>
      <c r="I120" s="115">
        <v>2030.0</v>
      </c>
      <c r="J120" s="115" t="s">
        <v>640</v>
      </c>
      <c r="K120" s="137">
        <v>-0.56</v>
      </c>
      <c r="L120" s="115" t="s">
        <v>636</v>
      </c>
      <c r="M120" s="128">
        <v>2021.0</v>
      </c>
      <c r="N120" s="124" t="s">
        <v>641</v>
      </c>
      <c r="O120" s="115" t="s">
        <v>642</v>
      </c>
      <c r="P120" s="132">
        <v>2019.0</v>
      </c>
      <c r="Q120" s="115"/>
      <c r="R120" s="115"/>
      <c r="S120" s="115"/>
      <c r="T120" s="124"/>
      <c r="U120" s="115"/>
      <c r="V120" s="132"/>
      <c r="W120" s="115"/>
      <c r="X120" s="133"/>
      <c r="Y120" s="115"/>
      <c r="Z120" s="124"/>
      <c r="AA120" s="115"/>
    </row>
    <row r="121">
      <c r="A121" s="111">
        <v>124.0</v>
      </c>
      <c r="B121" s="230" t="s">
        <v>132</v>
      </c>
      <c r="C121" s="231" t="s">
        <v>343</v>
      </c>
      <c r="D121" s="127"/>
      <c r="E121" s="62" t="s">
        <v>208</v>
      </c>
      <c r="F121" s="62" t="s">
        <v>258</v>
      </c>
      <c r="G121" s="115" t="s">
        <v>494</v>
      </c>
      <c r="H121" s="115">
        <v>2019.0</v>
      </c>
      <c r="I121" s="115">
        <v>2030.0</v>
      </c>
      <c r="J121" s="115" t="s">
        <v>643</v>
      </c>
      <c r="K121" s="137">
        <v>1.0</v>
      </c>
      <c r="L121" s="115" t="s">
        <v>644</v>
      </c>
      <c r="M121" s="128">
        <v>2019.0</v>
      </c>
      <c r="N121" s="124" t="s">
        <v>459</v>
      </c>
      <c r="O121" s="115" t="s">
        <v>637</v>
      </c>
      <c r="P121" s="132"/>
      <c r="Q121" s="115"/>
      <c r="R121" s="115"/>
      <c r="S121" s="115"/>
      <c r="T121" s="124"/>
      <c r="U121" s="115"/>
      <c r="V121" s="132"/>
      <c r="W121" s="115"/>
      <c r="X121" s="133"/>
      <c r="Y121" s="115"/>
      <c r="Z121" s="124"/>
      <c r="AA121" s="115"/>
    </row>
    <row r="122">
      <c r="A122" s="111">
        <v>125.0</v>
      </c>
      <c r="B122" s="230" t="s">
        <v>132</v>
      </c>
      <c r="C122" s="231" t="s">
        <v>343</v>
      </c>
      <c r="D122" s="127"/>
      <c r="E122" s="62" t="s">
        <v>208</v>
      </c>
      <c r="F122" s="62" t="s">
        <v>267</v>
      </c>
      <c r="G122" s="134"/>
      <c r="H122" s="115">
        <v>2022.0</v>
      </c>
      <c r="I122" s="115">
        <v>2030.0</v>
      </c>
      <c r="J122" s="115" t="s">
        <v>645</v>
      </c>
      <c r="K122" s="137">
        <v>-0.3</v>
      </c>
      <c r="L122" s="115" t="s">
        <v>645</v>
      </c>
      <c r="M122" s="128">
        <v>2022.0</v>
      </c>
      <c r="N122" s="124" t="s">
        <v>517</v>
      </c>
      <c r="O122" s="115" t="s">
        <v>518</v>
      </c>
      <c r="P122" s="132"/>
      <c r="Q122" s="115"/>
      <c r="R122" s="115"/>
      <c r="S122" s="115"/>
      <c r="T122" s="124"/>
      <c r="U122" s="115"/>
      <c r="V122" s="132"/>
      <c r="W122" s="115"/>
      <c r="X122" s="133"/>
      <c r="Y122" s="115"/>
      <c r="Z122" s="124"/>
      <c r="AA122" s="115"/>
    </row>
    <row r="123">
      <c r="A123" s="111">
        <v>126.0</v>
      </c>
      <c r="B123" s="115" t="s">
        <v>112</v>
      </c>
      <c r="C123" s="62" t="s">
        <v>343</v>
      </c>
      <c r="D123" s="115"/>
      <c r="E123" s="62" t="s">
        <v>208</v>
      </c>
      <c r="F123" s="62" t="s">
        <v>220</v>
      </c>
      <c r="G123" s="134"/>
      <c r="H123" s="115">
        <v>2019.0</v>
      </c>
      <c r="I123" s="115">
        <v>2030.0</v>
      </c>
      <c r="J123" s="221" t="s">
        <v>646</v>
      </c>
      <c r="K123" s="137">
        <v>0.5</v>
      </c>
      <c r="L123" s="115" t="s">
        <v>647</v>
      </c>
      <c r="M123" s="128">
        <v>2019.0</v>
      </c>
      <c r="N123" s="136" t="s">
        <v>505</v>
      </c>
      <c r="O123" s="115" t="s">
        <v>506</v>
      </c>
      <c r="P123" s="132"/>
      <c r="Q123" s="115"/>
      <c r="R123" s="115"/>
      <c r="S123" s="115"/>
      <c r="T123" s="124"/>
      <c r="U123" s="115"/>
      <c r="V123" s="132"/>
      <c r="W123" s="115"/>
      <c r="X123" s="133"/>
      <c r="Y123" s="115"/>
      <c r="Z123" s="124"/>
      <c r="AA123" s="115"/>
    </row>
    <row r="124">
      <c r="A124" s="111">
        <v>127.0</v>
      </c>
      <c r="B124" s="115" t="s">
        <v>112</v>
      </c>
      <c r="C124" s="62" t="s">
        <v>343</v>
      </c>
      <c r="D124" s="115"/>
      <c r="E124" s="62" t="s">
        <v>208</v>
      </c>
      <c r="F124" s="62" t="s">
        <v>263</v>
      </c>
      <c r="G124" s="115" t="s">
        <v>280</v>
      </c>
      <c r="H124" s="115">
        <v>2020.0</v>
      </c>
      <c r="I124" s="115">
        <v>2030.0</v>
      </c>
      <c r="J124" s="221" t="s">
        <v>648</v>
      </c>
      <c r="K124" s="137">
        <v>-0.3</v>
      </c>
      <c r="L124" s="115" t="s">
        <v>649</v>
      </c>
      <c r="M124" s="128">
        <v>2020.0</v>
      </c>
      <c r="N124" s="136" t="s">
        <v>650</v>
      </c>
      <c r="O124" s="115" t="s">
        <v>651</v>
      </c>
      <c r="P124" s="132">
        <v>2019.0</v>
      </c>
      <c r="Q124" s="115" t="s">
        <v>652</v>
      </c>
      <c r="R124" s="115">
        <v>5681.0</v>
      </c>
      <c r="S124" s="115" t="s">
        <v>653</v>
      </c>
      <c r="T124" s="136" t="s">
        <v>654</v>
      </c>
      <c r="U124" s="115" t="s">
        <v>655</v>
      </c>
      <c r="V124" s="132">
        <v>2023.0</v>
      </c>
      <c r="W124" s="115" t="s">
        <v>656</v>
      </c>
      <c r="X124" s="133">
        <v>5448.0</v>
      </c>
      <c r="Y124" s="115" t="s">
        <v>653</v>
      </c>
      <c r="Z124" s="124"/>
      <c r="AA124" s="115"/>
    </row>
    <row r="125">
      <c r="A125" s="111">
        <v>128.0</v>
      </c>
      <c r="B125" s="115" t="s">
        <v>112</v>
      </c>
      <c r="C125" s="62" t="s">
        <v>343</v>
      </c>
      <c r="D125" s="115"/>
      <c r="E125" s="62" t="s">
        <v>208</v>
      </c>
      <c r="F125" s="62" t="s">
        <v>258</v>
      </c>
      <c r="G125" s="115" t="s">
        <v>494</v>
      </c>
      <c r="H125" s="115">
        <v>2020.0</v>
      </c>
      <c r="I125" s="115">
        <v>2025.0</v>
      </c>
      <c r="J125" s="221" t="s">
        <v>657</v>
      </c>
      <c r="K125" s="137">
        <v>1.0</v>
      </c>
      <c r="L125" s="115" t="s">
        <v>658</v>
      </c>
      <c r="M125" s="128">
        <v>2020.0</v>
      </c>
      <c r="N125" s="136" t="s">
        <v>650</v>
      </c>
      <c r="O125" s="115" t="s">
        <v>651</v>
      </c>
      <c r="P125" s="132"/>
      <c r="Q125" s="115"/>
      <c r="R125" s="115"/>
      <c r="S125" s="115"/>
      <c r="T125" s="124"/>
      <c r="U125" s="115"/>
      <c r="V125" s="132"/>
      <c r="W125" s="115"/>
      <c r="X125" s="133"/>
      <c r="Y125" s="115"/>
      <c r="Z125" s="124"/>
      <c r="AA125" s="115"/>
    </row>
    <row r="126">
      <c r="A126" s="111">
        <v>129.0</v>
      </c>
      <c r="B126" s="115" t="s">
        <v>112</v>
      </c>
      <c r="C126" s="62" t="s">
        <v>343</v>
      </c>
      <c r="D126" s="115"/>
      <c r="E126" s="62" t="s">
        <v>208</v>
      </c>
      <c r="F126" s="62" t="s">
        <v>220</v>
      </c>
      <c r="G126" s="134"/>
      <c r="H126" s="115">
        <v>2020.0</v>
      </c>
      <c r="I126" s="115">
        <v>2025.0</v>
      </c>
      <c r="J126" s="221" t="s">
        <v>659</v>
      </c>
      <c r="K126" s="137">
        <v>1.0</v>
      </c>
      <c r="L126" s="115" t="s">
        <v>660</v>
      </c>
      <c r="M126" s="128">
        <v>2020.0</v>
      </c>
      <c r="N126" s="136" t="s">
        <v>650</v>
      </c>
      <c r="O126" s="115" t="s">
        <v>651</v>
      </c>
      <c r="P126" s="132"/>
      <c r="Q126" s="115"/>
      <c r="R126" s="115"/>
      <c r="S126" s="115"/>
      <c r="T126" s="124"/>
      <c r="U126" s="115"/>
      <c r="V126" s="132"/>
      <c r="W126" s="115"/>
      <c r="X126" s="133"/>
      <c r="Y126" s="115"/>
      <c r="Z126" s="124"/>
      <c r="AA126" s="115"/>
    </row>
    <row r="127">
      <c r="A127" s="111">
        <v>130.0</v>
      </c>
      <c r="B127" s="115" t="s">
        <v>112</v>
      </c>
      <c r="C127" s="62" t="s">
        <v>343</v>
      </c>
      <c r="D127" s="115"/>
      <c r="E127" s="62" t="s">
        <v>208</v>
      </c>
      <c r="F127" s="62" t="s">
        <v>220</v>
      </c>
      <c r="G127" s="134"/>
      <c r="H127" s="115">
        <v>2020.0</v>
      </c>
      <c r="I127" s="115">
        <v>2030.0</v>
      </c>
      <c r="J127" s="221" t="s">
        <v>661</v>
      </c>
      <c r="K127" s="137">
        <v>1.0</v>
      </c>
      <c r="L127" s="115" t="s">
        <v>662</v>
      </c>
      <c r="M127" s="128">
        <v>2020.0</v>
      </c>
      <c r="N127" s="136" t="s">
        <v>650</v>
      </c>
      <c r="O127" s="115" t="s">
        <v>651</v>
      </c>
      <c r="P127" s="132"/>
      <c r="Q127" s="115"/>
      <c r="R127" s="115"/>
      <c r="S127" s="115"/>
      <c r="T127" s="124"/>
      <c r="U127" s="115"/>
      <c r="V127" s="132"/>
      <c r="W127" s="115"/>
      <c r="X127" s="133"/>
      <c r="Y127" s="115"/>
      <c r="Z127" s="124"/>
      <c r="AA127" s="115"/>
    </row>
    <row r="128">
      <c r="A128" s="111">
        <v>131.0</v>
      </c>
      <c r="B128" s="115" t="s">
        <v>112</v>
      </c>
      <c r="C128" s="62" t="s">
        <v>343</v>
      </c>
      <c r="D128" s="115"/>
      <c r="E128" s="62" t="s">
        <v>208</v>
      </c>
      <c r="F128" s="62" t="s">
        <v>220</v>
      </c>
      <c r="G128" s="134"/>
      <c r="H128" s="115">
        <v>2020.0</v>
      </c>
      <c r="I128" s="115">
        <v>2025.0</v>
      </c>
      <c r="J128" s="221" t="s">
        <v>663</v>
      </c>
      <c r="K128" s="137">
        <v>0.5</v>
      </c>
      <c r="L128" s="115" t="s">
        <v>664</v>
      </c>
      <c r="M128" s="128">
        <v>2020.0</v>
      </c>
      <c r="N128" s="136" t="s">
        <v>650</v>
      </c>
      <c r="O128" s="115" t="s">
        <v>651</v>
      </c>
      <c r="P128" s="132"/>
      <c r="Q128" s="115"/>
      <c r="R128" s="115"/>
      <c r="S128" s="115"/>
      <c r="T128" s="124"/>
      <c r="U128" s="115"/>
      <c r="V128" s="132"/>
      <c r="W128" s="115"/>
      <c r="X128" s="133"/>
      <c r="Y128" s="115"/>
      <c r="Z128" s="124"/>
      <c r="AA128" s="115"/>
    </row>
    <row r="129">
      <c r="A129" s="111">
        <v>132.0</v>
      </c>
      <c r="B129" s="115" t="s">
        <v>112</v>
      </c>
      <c r="C129" s="62" t="s">
        <v>343</v>
      </c>
      <c r="D129" s="115"/>
      <c r="E129" s="62" t="s">
        <v>208</v>
      </c>
      <c r="F129" s="62" t="s">
        <v>220</v>
      </c>
      <c r="G129" s="134"/>
      <c r="H129" s="115">
        <v>2020.0</v>
      </c>
      <c r="I129" s="115">
        <v>2030.0</v>
      </c>
      <c r="J129" s="221" t="s">
        <v>665</v>
      </c>
      <c r="K129" s="137">
        <v>0.5</v>
      </c>
      <c r="L129" s="115" t="s">
        <v>666</v>
      </c>
      <c r="M129" s="128">
        <v>2020.0</v>
      </c>
      <c r="N129" s="136" t="s">
        <v>650</v>
      </c>
      <c r="O129" s="115" t="s">
        <v>651</v>
      </c>
      <c r="P129" s="132"/>
      <c r="Q129" s="115"/>
      <c r="R129" s="115"/>
      <c r="S129" s="115"/>
      <c r="T129" s="124"/>
      <c r="U129" s="115"/>
      <c r="V129" s="132"/>
      <c r="W129" s="115"/>
      <c r="X129" s="133"/>
      <c r="Y129" s="115"/>
      <c r="Z129" s="124"/>
      <c r="AA129" s="115"/>
    </row>
    <row r="130">
      <c r="A130" s="111">
        <v>133.0</v>
      </c>
      <c r="B130" s="115" t="s">
        <v>112</v>
      </c>
      <c r="C130" s="62" t="s">
        <v>343</v>
      </c>
      <c r="D130" s="115"/>
      <c r="E130" s="62" t="s">
        <v>208</v>
      </c>
      <c r="F130" s="62" t="s">
        <v>263</v>
      </c>
      <c r="G130" s="115" t="s">
        <v>280</v>
      </c>
      <c r="H130" s="115">
        <v>2021.0</v>
      </c>
      <c r="I130" s="115">
        <v>2030.0</v>
      </c>
      <c r="J130" s="221" t="s">
        <v>667</v>
      </c>
      <c r="K130" s="137">
        <v>-0.5</v>
      </c>
      <c r="L130" s="115" t="s">
        <v>668</v>
      </c>
      <c r="M130" s="128">
        <v>2021.0</v>
      </c>
      <c r="N130" s="136" t="s">
        <v>669</v>
      </c>
      <c r="O130" s="115" t="s">
        <v>670</v>
      </c>
      <c r="P130" s="132">
        <v>2019.0</v>
      </c>
      <c r="Q130" s="115" t="s">
        <v>671</v>
      </c>
      <c r="R130" s="115" t="s">
        <v>672</v>
      </c>
      <c r="S130" s="115" t="s">
        <v>653</v>
      </c>
      <c r="T130" s="136" t="s">
        <v>669</v>
      </c>
      <c r="U130" s="115" t="s">
        <v>673</v>
      </c>
      <c r="V130" s="132">
        <v>2023.0</v>
      </c>
      <c r="W130" s="115" t="s">
        <v>674</v>
      </c>
      <c r="X130" s="133" t="s">
        <v>675</v>
      </c>
      <c r="Y130" s="115" t="s">
        <v>653</v>
      </c>
      <c r="Z130" s="136" t="s">
        <v>676</v>
      </c>
      <c r="AA130" s="115" t="s">
        <v>677</v>
      </c>
    </row>
    <row r="131">
      <c r="A131" s="111">
        <v>134.0</v>
      </c>
      <c r="B131" s="115" t="s">
        <v>112</v>
      </c>
      <c r="C131" s="62" t="s">
        <v>343</v>
      </c>
      <c r="D131" s="115"/>
      <c r="E131" s="62" t="s">
        <v>208</v>
      </c>
      <c r="F131" s="62" t="s">
        <v>263</v>
      </c>
      <c r="G131" s="115" t="s">
        <v>280</v>
      </c>
      <c r="H131" s="115">
        <v>2021.0</v>
      </c>
      <c r="I131" s="115">
        <v>2029.0</v>
      </c>
      <c r="J131" s="221" t="s">
        <v>678</v>
      </c>
      <c r="K131" s="137">
        <v>-0.42</v>
      </c>
      <c r="L131" s="115" t="s">
        <v>679</v>
      </c>
      <c r="M131" s="128">
        <v>2021.0</v>
      </c>
      <c r="N131" s="136" t="s">
        <v>669</v>
      </c>
      <c r="O131" s="115" t="s">
        <v>670</v>
      </c>
      <c r="P131" s="132">
        <v>2019.0</v>
      </c>
      <c r="Q131" s="115" t="s">
        <v>680</v>
      </c>
      <c r="R131" s="115">
        <v>489579.0</v>
      </c>
      <c r="S131" s="115" t="s">
        <v>653</v>
      </c>
      <c r="T131" s="136" t="s">
        <v>669</v>
      </c>
      <c r="U131" s="115"/>
      <c r="V131" s="132">
        <v>2023.0</v>
      </c>
      <c r="W131" s="115" t="s">
        <v>681</v>
      </c>
      <c r="X131" s="138">
        <v>-0.2</v>
      </c>
      <c r="Y131" s="115" t="s">
        <v>653</v>
      </c>
      <c r="Z131" s="136" t="s">
        <v>676</v>
      </c>
      <c r="AA131" s="115" t="s">
        <v>682</v>
      </c>
    </row>
    <row r="132">
      <c r="A132" s="111">
        <v>135.0</v>
      </c>
      <c r="B132" s="115" t="s">
        <v>112</v>
      </c>
      <c r="C132" s="62" t="s">
        <v>343</v>
      </c>
      <c r="D132" s="115"/>
      <c r="E132" s="62" t="s">
        <v>383</v>
      </c>
      <c r="F132" s="62" t="s">
        <v>683</v>
      </c>
      <c r="G132" s="134"/>
      <c r="H132" s="115">
        <v>2021.0</v>
      </c>
      <c r="I132" s="115">
        <v>2025.0</v>
      </c>
      <c r="J132" s="221" t="s">
        <v>684</v>
      </c>
      <c r="K132" s="137">
        <v>1.0</v>
      </c>
      <c r="L132" s="115" t="s">
        <v>685</v>
      </c>
      <c r="M132" s="128">
        <v>2021.0</v>
      </c>
      <c r="N132" s="136" t="s">
        <v>669</v>
      </c>
      <c r="O132" s="115" t="s">
        <v>670</v>
      </c>
      <c r="P132" s="132"/>
      <c r="Q132" s="115"/>
      <c r="R132" s="115"/>
      <c r="S132" s="115"/>
      <c r="T132" s="124"/>
      <c r="U132" s="115"/>
      <c r="V132" s="132"/>
      <c r="W132" s="115"/>
      <c r="X132" s="133"/>
      <c r="Y132" s="115"/>
      <c r="Z132" s="124"/>
      <c r="AA132" s="115"/>
    </row>
    <row r="133">
      <c r="A133" s="111">
        <v>136.0</v>
      </c>
      <c r="B133" s="115" t="s">
        <v>112</v>
      </c>
      <c r="C133" s="62" t="s">
        <v>343</v>
      </c>
      <c r="D133" s="115"/>
      <c r="E133" s="62" t="s">
        <v>208</v>
      </c>
      <c r="F133" s="62" t="s">
        <v>258</v>
      </c>
      <c r="G133" s="115" t="s">
        <v>494</v>
      </c>
      <c r="H133" s="115">
        <v>2022.0</v>
      </c>
      <c r="I133" s="115">
        <v>2030.0</v>
      </c>
      <c r="J133" s="221" t="s">
        <v>686</v>
      </c>
      <c r="K133" s="137">
        <v>1.0</v>
      </c>
      <c r="L133" s="115" t="s">
        <v>687</v>
      </c>
      <c r="M133" s="128">
        <v>2022.0</v>
      </c>
      <c r="N133" s="136" t="s">
        <v>654</v>
      </c>
      <c r="O133" s="115" t="s">
        <v>688</v>
      </c>
      <c r="P133" s="132"/>
      <c r="Q133" s="115"/>
      <c r="R133" s="115"/>
      <c r="S133" s="115"/>
      <c r="T133" s="124"/>
      <c r="U133" s="115"/>
      <c r="V133" s="132"/>
      <c r="W133" s="115"/>
      <c r="X133" s="133"/>
      <c r="Y133" s="115"/>
      <c r="Z133" s="124"/>
      <c r="AA133" s="115"/>
    </row>
    <row r="134">
      <c r="A134" s="111">
        <v>137.0</v>
      </c>
      <c r="B134" s="232" t="s">
        <v>123</v>
      </c>
      <c r="C134" s="233" t="s">
        <v>343</v>
      </c>
      <c r="D134" s="232"/>
      <c r="E134" s="62" t="s">
        <v>208</v>
      </c>
      <c r="F134" s="234" t="s">
        <v>263</v>
      </c>
      <c r="G134" s="115" t="s">
        <v>264</v>
      </c>
      <c r="H134" s="235">
        <v>2020.0</v>
      </c>
      <c r="I134" s="131">
        <v>2030.0</v>
      </c>
      <c r="J134" s="236" t="s">
        <v>689</v>
      </c>
      <c r="K134" s="237">
        <v>0.5</v>
      </c>
      <c r="L134" s="238" t="s">
        <v>690</v>
      </c>
      <c r="M134" s="239">
        <v>2020.0</v>
      </c>
      <c r="N134" s="240" t="s">
        <v>691</v>
      </c>
      <c r="O134" s="232" t="s">
        <v>692</v>
      </c>
      <c r="P134" s="241">
        <v>2018.0</v>
      </c>
      <c r="Q134" s="242"/>
      <c r="R134" s="242"/>
      <c r="S134" s="238" t="s">
        <v>693</v>
      </c>
      <c r="T134" s="240" t="s">
        <v>691</v>
      </c>
      <c r="U134" s="238" t="s">
        <v>694</v>
      </c>
      <c r="V134" s="243"/>
      <c r="W134" s="130"/>
      <c r="X134" s="130"/>
      <c r="Y134" s="242"/>
      <c r="Z134" s="244"/>
      <c r="AA134" s="130"/>
    </row>
    <row r="135">
      <c r="A135" s="111">
        <v>138.0</v>
      </c>
      <c r="B135" s="232" t="s">
        <v>123</v>
      </c>
      <c r="C135" s="233" t="s">
        <v>343</v>
      </c>
      <c r="D135" s="232"/>
      <c r="E135" s="62" t="s">
        <v>208</v>
      </c>
      <c r="F135" s="234" t="s">
        <v>263</v>
      </c>
      <c r="G135" s="115" t="s">
        <v>264</v>
      </c>
      <c r="H135" s="235">
        <v>2020.0</v>
      </c>
      <c r="I135" s="131">
        <v>2030.0</v>
      </c>
      <c r="J135" s="245" t="s">
        <v>695</v>
      </c>
      <c r="K135" s="237">
        <v>0.4</v>
      </c>
      <c r="L135" s="238" t="s">
        <v>690</v>
      </c>
      <c r="M135" s="239">
        <v>2020.0</v>
      </c>
      <c r="N135" s="240" t="s">
        <v>691</v>
      </c>
      <c r="O135" s="232" t="s">
        <v>692</v>
      </c>
      <c r="P135" s="241">
        <v>2018.0</v>
      </c>
      <c r="Q135" s="242"/>
      <c r="R135" s="242"/>
      <c r="S135" s="238" t="s">
        <v>693</v>
      </c>
      <c r="T135" s="240" t="s">
        <v>691</v>
      </c>
      <c r="U135" s="238" t="s">
        <v>696</v>
      </c>
      <c r="V135" s="243"/>
      <c r="W135" s="130"/>
      <c r="X135" s="130"/>
      <c r="Y135" s="242"/>
      <c r="Z135" s="244"/>
      <c r="AA135" s="130"/>
    </row>
    <row r="136">
      <c r="A136" s="111">
        <v>139.0</v>
      </c>
      <c r="B136" s="232" t="s">
        <v>123</v>
      </c>
      <c r="C136" s="233" t="s">
        <v>343</v>
      </c>
      <c r="D136" s="232"/>
      <c r="E136" s="62" t="s">
        <v>208</v>
      </c>
      <c r="F136" s="234" t="s">
        <v>258</v>
      </c>
      <c r="G136" s="115" t="s">
        <v>494</v>
      </c>
      <c r="H136" s="235">
        <v>2020.0</v>
      </c>
      <c r="I136" s="131">
        <v>2025.0</v>
      </c>
      <c r="J136" s="236" t="s">
        <v>697</v>
      </c>
      <c r="K136" s="237">
        <v>1.0</v>
      </c>
      <c r="L136" s="238" t="s">
        <v>693</v>
      </c>
      <c r="M136" s="239">
        <v>2020.0</v>
      </c>
      <c r="N136" s="240" t="s">
        <v>691</v>
      </c>
      <c r="O136" s="232" t="s">
        <v>692</v>
      </c>
      <c r="P136" s="246"/>
      <c r="Q136" s="242"/>
      <c r="R136" s="242"/>
      <c r="S136" s="242"/>
      <c r="T136" s="242"/>
      <c r="U136" s="242"/>
      <c r="V136" s="243"/>
      <c r="W136" s="130"/>
      <c r="X136" s="130"/>
      <c r="Y136" s="242"/>
      <c r="Z136" s="244"/>
      <c r="AA136" s="130"/>
    </row>
    <row r="137">
      <c r="A137" s="111">
        <v>140.0</v>
      </c>
      <c r="B137" s="232" t="s">
        <v>123</v>
      </c>
      <c r="C137" s="233" t="s">
        <v>219</v>
      </c>
      <c r="D137" s="232"/>
      <c r="E137" s="62" t="s">
        <v>208</v>
      </c>
      <c r="F137" s="234" t="s">
        <v>258</v>
      </c>
      <c r="G137" s="115" t="s">
        <v>494</v>
      </c>
      <c r="H137" s="235">
        <v>2020.0</v>
      </c>
      <c r="I137" s="131">
        <v>2021.0</v>
      </c>
      <c r="J137" s="236" t="s">
        <v>698</v>
      </c>
      <c r="K137" s="237">
        <v>0.97</v>
      </c>
      <c r="L137" s="238" t="s">
        <v>693</v>
      </c>
      <c r="M137" s="239">
        <v>2020.0</v>
      </c>
      <c r="N137" s="240" t="s">
        <v>691</v>
      </c>
      <c r="O137" s="232" t="s">
        <v>692</v>
      </c>
      <c r="P137" s="246"/>
      <c r="Q137" s="242"/>
      <c r="R137" s="242"/>
      <c r="S137" s="242"/>
      <c r="T137" s="242"/>
      <c r="U137" s="242"/>
      <c r="V137" s="129">
        <v>2021.0</v>
      </c>
      <c r="W137" s="130"/>
      <c r="X137" s="247">
        <v>0.92</v>
      </c>
      <c r="Y137" s="238" t="s">
        <v>699</v>
      </c>
      <c r="Z137" s="248" t="s">
        <v>700</v>
      </c>
      <c r="AA137" s="232" t="s">
        <v>701</v>
      </c>
    </row>
    <row r="138">
      <c r="A138" s="111">
        <v>141.0</v>
      </c>
      <c r="B138" s="232" t="s">
        <v>123</v>
      </c>
      <c r="C138" s="233" t="s">
        <v>343</v>
      </c>
      <c r="D138" s="232"/>
      <c r="E138" s="62" t="s">
        <v>208</v>
      </c>
      <c r="F138" s="234" t="s">
        <v>263</v>
      </c>
      <c r="G138" s="115" t="s">
        <v>280</v>
      </c>
      <c r="H138" s="249">
        <v>2023.0</v>
      </c>
      <c r="I138" s="131">
        <v>2030.0</v>
      </c>
      <c r="J138" s="236" t="s">
        <v>702</v>
      </c>
      <c r="K138" s="237">
        <v>0.5</v>
      </c>
      <c r="L138" s="238" t="s">
        <v>693</v>
      </c>
      <c r="M138" s="250">
        <v>2023.0</v>
      </c>
      <c r="N138" s="248" t="s">
        <v>703</v>
      </c>
      <c r="O138" s="232" t="s">
        <v>704</v>
      </c>
      <c r="P138" s="241">
        <v>2021.0</v>
      </c>
      <c r="Q138" s="242"/>
      <c r="R138" s="242"/>
      <c r="S138" s="238" t="s">
        <v>693</v>
      </c>
      <c r="T138" s="248" t="s">
        <v>703</v>
      </c>
      <c r="U138" s="238" t="s">
        <v>705</v>
      </c>
      <c r="V138" s="243"/>
      <c r="W138" s="130"/>
      <c r="X138" s="130"/>
      <c r="Y138" s="242"/>
      <c r="Z138" s="244"/>
      <c r="AA138" s="130"/>
    </row>
    <row r="139">
      <c r="A139" s="111">
        <v>142.0</v>
      </c>
      <c r="B139" s="232" t="s">
        <v>123</v>
      </c>
      <c r="C139" s="233" t="s">
        <v>343</v>
      </c>
      <c r="D139" s="232"/>
      <c r="E139" s="62" t="s">
        <v>208</v>
      </c>
      <c r="F139" s="234" t="s">
        <v>263</v>
      </c>
      <c r="G139" s="115" t="s">
        <v>280</v>
      </c>
      <c r="H139" s="249">
        <v>2023.0</v>
      </c>
      <c r="I139" s="131">
        <v>2030.0</v>
      </c>
      <c r="J139" s="245" t="s">
        <v>706</v>
      </c>
      <c r="K139" s="237">
        <v>0.42</v>
      </c>
      <c r="L139" s="238" t="s">
        <v>693</v>
      </c>
      <c r="M139" s="250">
        <v>2023.0</v>
      </c>
      <c r="N139" s="248" t="s">
        <v>703</v>
      </c>
      <c r="O139" s="232" t="s">
        <v>692</v>
      </c>
      <c r="P139" s="241">
        <v>2021.0</v>
      </c>
      <c r="Q139" s="242"/>
      <c r="R139" s="242"/>
      <c r="S139" s="238" t="s">
        <v>693</v>
      </c>
      <c r="T139" s="248" t="s">
        <v>703</v>
      </c>
      <c r="U139" s="238" t="s">
        <v>705</v>
      </c>
      <c r="V139" s="243"/>
      <c r="W139" s="130"/>
      <c r="X139" s="130"/>
      <c r="Y139" s="242"/>
      <c r="Z139" s="244"/>
      <c r="AA139" s="130"/>
    </row>
    <row r="140">
      <c r="A140" s="111">
        <v>143.0</v>
      </c>
      <c r="B140" s="232" t="s">
        <v>123</v>
      </c>
      <c r="C140" s="233" t="s">
        <v>343</v>
      </c>
      <c r="D140" s="232"/>
      <c r="E140" s="62" t="s">
        <v>208</v>
      </c>
      <c r="F140" s="234" t="s">
        <v>263</v>
      </c>
      <c r="G140" s="115" t="s">
        <v>280</v>
      </c>
      <c r="H140" s="249">
        <v>2023.0</v>
      </c>
      <c r="I140" s="131">
        <v>2040.0</v>
      </c>
      <c r="J140" s="236" t="s">
        <v>707</v>
      </c>
      <c r="K140" s="237">
        <v>0.9</v>
      </c>
      <c r="L140" s="238" t="s">
        <v>693</v>
      </c>
      <c r="M140" s="250">
        <v>2023.0</v>
      </c>
      <c r="N140" s="248" t="s">
        <v>703</v>
      </c>
      <c r="O140" s="232" t="s">
        <v>692</v>
      </c>
      <c r="P140" s="241">
        <v>2021.0</v>
      </c>
      <c r="Q140" s="242"/>
      <c r="R140" s="242"/>
      <c r="S140" s="238" t="s">
        <v>693</v>
      </c>
      <c r="T140" s="248" t="s">
        <v>703</v>
      </c>
      <c r="U140" s="238" t="s">
        <v>705</v>
      </c>
      <c r="V140" s="243"/>
      <c r="W140" s="130"/>
      <c r="X140" s="130"/>
      <c r="Y140" s="242"/>
      <c r="Z140" s="244"/>
      <c r="AA140" s="130"/>
    </row>
    <row r="141">
      <c r="A141" s="111">
        <v>144.0</v>
      </c>
      <c r="B141" s="232" t="s">
        <v>123</v>
      </c>
      <c r="C141" s="233" t="s">
        <v>343</v>
      </c>
      <c r="D141" s="232"/>
      <c r="E141" s="62" t="s">
        <v>208</v>
      </c>
      <c r="F141" s="234" t="s">
        <v>263</v>
      </c>
      <c r="G141" s="115" t="s">
        <v>280</v>
      </c>
      <c r="H141" s="249">
        <v>2023.0</v>
      </c>
      <c r="I141" s="131">
        <v>2040.0</v>
      </c>
      <c r="J141" s="245" t="s">
        <v>708</v>
      </c>
      <c r="K141" s="237">
        <v>0.9</v>
      </c>
      <c r="L141" s="238" t="s">
        <v>693</v>
      </c>
      <c r="M141" s="250">
        <v>2023.0</v>
      </c>
      <c r="N141" s="248" t="s">
        <v>703</v>
      </c>
      <c r="O141" s="232" t="s">
        <v>692</v>
      </c>
      <c r="P141" s="241">
        <v>2021.0</v>
      </c>
      <c r="Q141" s="242"/>
      <c r="R141" s="242"/>
      <c r="S141" s="238" t="s">
        <v>693</v>
      </c>
      <c r="T141" s="248" t="s">
        <v>703</v>
      </c>
      <c r="U141" s="238" t="s">
        <v>705</v>
      </c>
      <c r="V141" s="243"/>
      <c r="W141" s="130"/>
      <c r="X141" s="130"/>
      <c r="Y141" s="242"/>
      <c r="Z141" s="244"/>
      <c r="AA141" s="130"/>
    </row>
    <row r="142">
      <c r="A142" s="111">
        <v>145.0</v>
      </c>
      <c r="B142" s="232" t="s">
        <v>123</v>
      </c>
      <c r="C142" s="233" t="s">
        <v>343</v>
      </c>
      <c r="D142" s="232"/>
      <c r="E142" s="62" t="s">
        <v>208</v>
      </c>
      <c r="F142" s="234" t="s">
        <v>263</v>
      </c>
      <c r="G142" s="115" t="s">
        <v>280</v>
      </c>
      <c r="H142" s="249">
        <v>2023.0</v>
      </c>
      <c r="I142" s="131">
        <v>2030.0</v>
      </c>
      <c r="J142" s="245" t="s">
        <v>709</v>
      </c>
      <c r="K142" s="238" t="s">
        <v>710</v>
      </c>
      <c r="L142" s="238" t="s">
        <v>693</v>
      </c>
      <c r="M142" s="250">
        <v>2023.0</v>
      </c>
      <c r="N142" s="248" t="s">
        <v>703</v>
      </c>
      <c r="O142" s="232" t="s">
        <v>692</v>
      </c>
      <c r="P142" s="241">
        <v>2021.0</v>
      </c>
      <c r="Q142" s="242"/>
      <c r="R142" s="242"/>
      <c r="S142" s="238" t="s">
        <v>693</v>
      </c>
      <c r="T142" s="248" t="s">
        <v>703</v>
      </c>
      <c r="U142" s="238" t="s">
        <v>705</v>
      </c>
      <c r="V142" s="243"/>
      <c r="W142" s="130"/>
      <c r="X142" s="130"/>
      <c r="Y142" s="242"/>
      <c r="Z142" s="244"/>
      <c r="AA142" s="130"/>
    </row>
    <row r="143">
      <c r="A143" s="111">
        <v>146.0</v>
      </c>
      <c r="B143" s="232" t="s">
        <v>123</v>
      </c>
      <c r="C143" s="233" t="s">
        <v>343</v>
      </c>
      <c r="D143" s="232"/>
      <c r="E143" s="62" t="s">
        <v>208</v>
      </c>
      <c r="F143" s="234" t="s">
        <v>263</v>
      </c>
      <c r="G143" s="115" t="s">
        <v>280</v>
      </c>
      <c r="H143" s="249">
        <v>2023.0</v>
      </c>
      <c r="I143" s="131">
        <v>2040.0</v>
      </c>
      <c r="J143" s="245" t="s">
        <v>711</v>
      </c>
      <c r="K143" s="237">
        <v>0.72</v>
      </c>
      <c r="L143" s="238" t="s">
        <v>693</v>
      </c>
      <c r="M143" s="250">
        <v>2023.0</v>
      </c>
      <c r="N143" s="248" t="s">
        <v>703</v>
      </c>
      <c r="O143" s="232" t="s">
        <v>692</v>
      </c>
      <c r="P143" s="241">
        <v>2021.0</v>
      </c>
      <c r="Q143" s="242"/>
      <c r="R143" s="242"/>
      <c r="S143" s="238" t="s">
        <v>693</v>
      </c>
      <c r="T143" s="248" t="s">
        <v>703</v>
      </c>
      <c r="U143" s="238" t="s">
        <v>705</v>
      </c>
      <c r="V143" s="243"/>
      <c r="W143" s="130"/>
      <c r="X143" s="130"/>
      <c r="Y143" s="242"/>
      <c r="Z143" s="244"/>
      <c r="AA143" s="130"/>
    </row>
    <row r="144">
      <c r="A144" s="111">
        <v>148.0</v>
      </c>
      <c r="B144" s="130" t="s">
        <v>129</v>
      </c>
      <c r="C144" s="251" t="s">
        <v>343</v>
      </c>
      <c r="D144" s="130"/>
      <c r="E144" s="252" t="s">
        <v>208</v>
      </c>
      <c r="F144" s="253" t="s">
        <v>258</v>
      </c>
      <c r="G144" s="115" t="s">
        <v>494</v>
      </c>
      <c r="H144" s="254">
        <v>2020.0</v>
      </c>
      <c r="I144" s="254">
        <v>2030.0</v>
      </c>
      <c r="J144" s="255" t="s">
        <v>712</v>
      </c>
      <c r="K144" s="256">
        <v>1.0</v>
      </c>
      <c r="L144" s="130" t="s">
        <v>693</v>
      </c>
      <c r="M144" s="257">
        <v>2020.0</v>
      </c>
      <c r="N144" s="244" t="s">
        <v>713</v>
      </c>
      <c r="O144" s="130" t="s">
        <v>714</v>
      </c>
      <c r="P144" s="246"/>
      <c r="Q144" s="242"/>
      <c r="R144" s="242"/>
      <c r="S144" s="242"/>
      <c r="T144" s="242"/>
      <c r="U144" s="242"/>
      <c r="V144" s="246"/>
      <c r="W144" s="242"/>
      <c r="X144" s="242"/>
      <c r="Y144" s="242"/>
      <c r="Z144" s="242"/>
      <c r="AA144" s="242"/>
    </row>
    <row r="145">
      <c r="A145" s="111">
        <v>149.0</v>
      </c>
      <c r="B145" s="122" t="s">
        <v>129</v>
      </c>
      <c r="C145" s="258" t="s">
        <v>343</v>
      </c>
      <c r="D145" s="122"/>
      <c r="E145" s="113" t="s">
        <v>383</v>
      </c>
      <c r="F145" s="259" t="s">
        <v>220</v>
      </c>
      <c r="G145" s="260"/>
      <c r="H145" s="121">
        <v>2020.0</v>
      </c>
      <c r="I145" s="121">
        <v>2025.0</v>
      </c>
      <c r="J145" s="261" t="s">
        <v>715</v>
      </c>
      <c r="K145" s="262">
        <v>0.25</v>
      </c>
      <c r="L145" s="122" t="s">
        <v>693</v>
      </c>
      <c r="M145" s="117">
        <v>2020.0</v>
      </c>
      <c r="N145" s="123" t="s">
        <v>713</v>
      </c>
      <c r="O145" s="122" t="s">
        <v>714</v>
      </c>
      <c r="P145" s="263"/>
      <c r="Q145" s="120"/>
      <c r="R145" s="120"/>
      <c r="S145" s="120"/>
      <c r="T145" s="120"/>
      <c r="U145" s="120"/>
      <c r="V145" s="144">
        <v>2024.0</v>
      </c>
      <c r="W145" s="122" t="s">
        <v>716</v>
      </c>
      <c r="X145" s="120"/>
      <c r="Y145" s="120"/>
      <c r="Z145" s="123" t="s">
        <v>717</v>
      </c>
      <c r="AA145" s="122" t="s">
        <v>718</v>
      </c>
    </row>
    <row r="146">
      <c r="A146" s="111">
        <v>150.0</v>
      </c>
      <c r="B146" s="130" t="s">
        <v>129</v>
      </c>
      <c r="C146" s="251" t="s">
        <v>343</v>
      </c>
      <c r="D146" s="130"/>
      <c r="E146" s="252" t="s">
        <v>208</v>
      </c>
      <c r="F146" s="253" t="s">
        <v>263</v>
      </c>
      <c r="G146" s="134"/>
      <c r="H146" s="254">
        <v>2020.0</v>
      </c>
      <c r="I146" s="254">
        <v>2025.0</v>
      </c>
      <c r="J146" s="255" t="s">
        <v>719</v>
      </c>
      <c r="K146" s="242"/>
      <c r="L146" s="242"/>
      <c r="M146" s="257">
        <v>2020.0</v>
      </c>
      <c r="N146" s="244" t="s">
        <v>713</v>
      </c>
      <c r="O146" s="130" t="s">
        <v>218</v>
      </c>
      <c r="P146" s="246"/>
      <c r="Q146" s="242"/>
      <c r="R146" s="242"/>
      <c r="S146" s="242"/>
      <c r="T146" s="242"/>
      <c r="U146" s="242"/>
      <c r="V146" s="246"/>
      <c r="W146" s="242"/>
      <c r="X146" s="242"/>
      <c r="Y146" s="242"/>
      <c r="Z146" s="242"/>
      <c r="AA146" s="242"/>
    </row>
    <row r="147">
      <c r="A147" s="111">
        <v>151.0</v>
      </c>
      <c r="B147" s="122" t="s">
        <v>129</v>
      </c>
      <c r="C147" s="264" t="s">
        <v>343</v>
      </c>
      <c r="D147" s="122"/>
      <c r="E147" s="113" t="s">
        <v>383</v>
      </c>
      <c r="F147" s="114" t="s">
        <v>720</v>
      </c>
      <c r="G147" s="260"/>
      <c r="H147" s="121">
        <v>2020.0</v>
      </c>
      <c r="I147" s="121">
        <v>2035.0</v>
      </c>
      <c r="J147" s="265" t="s">
        <v>721</v>
      </c>
      <c r="K147" s="111">
        <v>140.0</v>
      </c>
      <c r="L147" s="145" t="s">
        <v>722</v>
      </c>
      <c r="M147" s="117">
        <v>2020.0</v>
      </c>
      <c r="N147" s="123" t="s">
        <v>713</v>
      </c>
      <c r="O147" s="122" t="s">
        <v>214</v>
      </c>
      <c r="P147" s="263"/>
      <c r="Q147" s="120"/>
      <c r="R147" s="120"/>
      <c r="S147" s="120"/>
      <c r="T147" s="120"/>
      <c r="U147" s="120"/>
      <c r="V147" s="144">
        <v>2024.0</v>
      </c>
      <c r="W147" s="122" t="s">
        <v>723</v>
      </c>
      <c r="X147" s="120"/>
      <c r="Y147" s="120"/>
      <c r="Z147" s="123" t="s">
        <v>717</v>
      </c>
      <c r="AA147" s="122" t="s">
        <v>724</v>
      </c>
    </row>
    <row r="148">
      <c r="A148" s="111">
        <v>153.0</v>
      </c>
      <c r="B148" s="122" t="s">
        <v>129</v>
      </c>
      <c r="C148" s="266" t="s">
        <v>207</v>
      </c>
      <c r="D148" s="122"/>
      <c r="E148" s="113" t="s">
        <v>231</v>
      </c>
      <c r="F148" s="259" t="s">
        <v>263</v>
      </c>
      <c r="G148" s="115" t="s">
        <v>379</v>
      </c>
      <c r="H148" s="121">
        <v>2020.0</v>
      </c>
      <c r="I148" s="145">
        <v>2050.0</v>
      </c>
      <c r="J148" s="261" t="s">
        <v>725</v>
      </c>
      <c r="K148" s="120"/>
      <c r="L148" s="120"/>
      <c r="M148" s="117">
        <v>2020.0</v>
      </c>
      <c r="N148" s="123" t="s">
        <v>713</v>
      </c>
      <c r="O148" s="122" t="s">
        <v>714</v>
      </c>
      <c r="P148" s="263"/>
      <c r="Q148" s="120"/>
      <c r="R148" s="120"/>
      <c r="S148" s="120"/>
      <c r="T148" s="120"/>
      <c r="U148" s="120"/>
      <c r="V148" s="144">
        <v>2022.0</v>
      </c>
      <c r="W148" s="122" t="s">
        <v>726</v>
      </c>
      <c r="X148" s="122" t="s">
        <v>727</v>
      </c>
      <c r="Y148" s="120"/>
      <c r="Z148" s="123" t="s">
        <v>728</v>
      </c>
      <c r="AA148" s="122" t="s">
        <v>729</v>
      </c>
    </row>
    <row r="149">
      <c r="A149" s="111">
        <v>154.0</v>
      </c>
      <c r="B149" s="130" t="s">
        <v>129</v>
      </c>
      <c r="C149" s="251" t="s">
        <v>343</v>
      </c>
      <c r="D149" s="130"/>
      <c r="E149" s="252" t="s">
        <v>383</v>
      </c>
      <c r="F149" s="234" t="s">
        <v>244</v>
      </c>
      <c r="G149" s="267"/>
      <c r="H149" s="254">
        <v>2020.0</v>
      </c>
      <c r="I149" s="254">
        <v>2025.0</v>
      </c>
      <c r="J149" s="255" t="s">
        <v>730</v>
      </c>
      <c r="K149" s="242"/>
      <c r="L149" s="242"/>
      <c r="M149" s="257">
        <v>2020.0</v>
      </c>
      <c r="N149" s="244" t="s">
        <v>713</v>
      </c>
      <c r="O149" s="130" t="s">
        <v>714</v>
      </c>
      <c r="P149" s="246"/>
      <c r="Q149" s="242"/>
      <c r="R149" s="242"/>
      <c r="S149" s="242"/>
      <c r="T149" s="242"/>
      <c r="U149" s="242"/>
      <c r="V149" s="246"/>
      <c r="W149" s="242"/>
      <c r="X149" s="242"/>
      <c r="Y149" s="242"/>
      <c r="Z149" s="242"/>
      <c r="AA149" s="242"/>
    </row>
    <row r="150">
      <c r="A150" s="111">
        <v>155.0</v>
      </c>
      <c r="B150" s="122" t="s">
        <v>129</v>
      </c>
      <c r="C150" s="258" t="s">
        <v>343</v>
      </c>
      <c r="D150" s="122"/>
      <c r="E150" s="113" t="s">
        <v>383</v>
      </c>
      <c r="F150" s="234" t="s">
        <v>244</v>
      </c>
      <c r="G150" s="260"/>
      <c r="H150" s="121">
        <v>2020.0</v>
      </c>
      <c r="I150" s="121">
        <v>2030.0</v>
      </c>
      <c r="J150" s="261" t="s">
        <v>731</v>
      </c>
      <c r="K150" s="120"/>
      <c r="L150" s="120"/>
      <c r="M150" s="117">
        <v>2020.0</v>
      </c>
      <c r="N150" s="123" t="s">
        <v>713</v>
      </c>
      <c r="O150" s="122" t="s">
        <v>714</v>
      </c>
      <c r="P150" s="263"/>
      <c r="Q150" s="120"/>
      <c r="R150" s="120"/>
      <c r="S150" s="120"/>
      <c r="T150" s="120"/>
      <c r="U150" s="120"/>
      <c r="V150" s="263"/>
      <c r="W150" s="120"/>
      <c r="X150" s="120"/>
      <c r="Y150" s="120"/>
      <c r="Z150" s="120"/>
      <c r="AA150" s="120"/>
    </row>
    <row r="151">
      <c r="A151" s="111">
        <v>156.0</v>
      </c>
      <c r="B151" s="130" t="s">
        <v>129</v>
      </c>
      <c r="C151" s="268" t="s">
        <v>274</v>
      </c>
      <c r="D151" s="130"/>
      <c r="E151" s="252" t="s">
        <v>208</v>
      </c>
      <c r="F151" s="253" t="s">
        <v>220</v>
      </c>
      <c r="G151" s="267"/>
      <c r="H151" s="254">
        <v>2020.0</v>
      </c>
      <c r="I151" s="254">
        <v>2025.0</v>
      </c>
      <c r="J151" s="255" t="s">
        <v>732</v>
      </c>
      <c r="K151" s="242"/>
      <c r="L151" s="242"/>
      <c r="M151" s="257">
        <v>2020.0</v>
      </c>
      <c r="N151" s="244" t="s">
        <v>713</v>
      </c>
      <c r="O151" s="111" t="s">
        <v>733</v>
      </c>
      <c r="P151" s="246"/>
      <c r="Q151" s="242"/>
      <c r="R151" s="242"/>
      <c r="S151" s="242"/>
      <c r="T151" s="242"/>
      <c r="U151" s="242"/>
      <c r="V151" s="243">
        <v>2023.0</v>
      </c>
      <c r="W151" s="130" t="s">
        <v>734</v>
      </c>
      <c r="X151" s="242"/>
      <c r="Y151" s="242"/>
      <c r="Z151" s="244" t="s">
        <v>735</v>
      </c>
      <c r="AA151" s="238" t="s">
        <v>736</v>
      </c>
    </row>
    <row r="152">
      <c r="A152" s="111">
        <v>157.0</v>
      </c>
      <c r="B152" s="122" t="s">
        <v>129</v>
      </c>
      <c r="C152" s="269" t="s">
        <v>274</v>
      </c>
      <c r="D152" s="122"/>
      <c r="E152" s="252" t="s">
        <v>208</v>
      </c>
      <c r="F152" s="259" t="s">
        <v>220</v>
      </c>
      <c r="G152" s="260"/>
      <c r="H152" s="121">
        <v>2020.0</v>
      </c>
      <c r="I152" s="121">
        <v>2030.0</v>
      </c>
      <c r="J152" s="261" t="s">
        <v>737</v>
      </c>
      <c r="K152" s="120"/>
      <c r="L152" s="120"/>
      <c r="M152" s="117">
        <v>2020.0</v>
      </c>
      <c r="N152" s="123" t="s">
        <v>713</v>
      </c>
      <c r="O152" s="111" t="s">
        <v>714</v>
      </c>
      <c r="P152" s="263"/>
      <c r="Q152" s="120"/>
      <c r="R152" s="120"/>
      <c r="S152" s="120"/>
      <c r="T152" s="120"/>
      <c r="U152" s="120"/>
      <c r="V152" s="144">
        <v>2023.0</v>
      </c>
      <c r="W152" s="122" t="s">
        <v>738</v>
      </c>
      <c r="X152" s="120"/>
      <c r="Y152" s="120"/>
      <c r="Z152" s="123" t="s">
        <v>735</v>
      </c>
      <c r="AA152" s="238" t="s">
        <v>736</v>
      </c>
    </row>
    <row r="153">
      <c r="A153" s="111">
        <v>163.0</v>
      </c>
      <c r="B153" s="130" t="s">
        <v>129</v>
      </c>
      <c r="C153" s="270" t="s">
        <v>343</v>
      </c>
      <c r="D153" s="130"/>
      <c r="E153" s="252" t="s">
        <v>231</v>
      </c>
      <c r="F153" s="234" t="s">
        <v>220</v>
      </c>
      <c r="G153" s="267"/>
      <c r="H153" s="254">
        <v>2021.0</v>
      </c>
      <c r="I153" s="254">
        <v>2026.0</v>
      </c>
      <c r="J153" s="255" t="s">
        <v>739</v>
      </c>
      <c r="K153" s="256">
        <v>0.5</v>
      </c>
      <c r="L153" s="130" t="s">
        <v>693</v>
      </c>
      <c r="M153" s="257">
        <v>2021.0</v>
      </c>
      <c r="N153" s="244" t="s">
        <v>740</v>
      </c>
      <c r="O153" s="130" t="s">
        <v>741</v>
      </c>
      <c r="P153" s="243">
        <v>2021.0</v>
      </c>
      <c r="Q153" s="130" t="s">
        <v>742</v>
      </c>
      <c r="R153" s="256">
        <v>0.16</v>
      </c>
      <c r="S153" s="130" t="s">
        <v>693</v>
      </c>
      <c r="T153" s="244" t="s">
        <v>740</v>
      </c>
      <c r="U153" s="130" t="s">
        <v>743</v>
      </c>
      <c r="V153" s="243">
        <v>2024.0</v>
      </c>
      <c r="W153" s="130" t="s">
        <v>744</v>
      </c>
      <c r="Y153" s="130" t="s">
        <v>693</v>
      </c>
      <c r="Z153" s="244" t="s">
        <v>717</v>
      </c>
      <c r="AA153" s="130" t="s">
        <v>745</v>
      </c>
    </row>
    <row r="154">
      <c r="A154" s="111">
        <v>164.0</v>
      </c>
      <c r="B154" s="130" t="s">
        <v>129</v>
      </c>
      <c r="C154" s="268" t="s">
        <v>219</v>
      </c>
      <c r="D154" s="130"/>
      <c r="E154" s="113" t="s">
        <v>383</v>
      </c>
      <c r="F154" s="234" t="s">
        <v>373</v>
      </c>
      <c r="G154" s="271"/>
      <c r="H154" s="254">
        <v>2021.0</v>
      </c>
      <c r="I154" s="254">
        <v>2022.0</v>
      </c>
      <c r="J154" s="255" t="s">
        <v>746</v>
      </c>
      <c r="K154" s="242"/>
      <c r="L154" s="242"/>
      <c r="M154" s="257">
        <v>2021.0</v>
      </c>
      <c r="N154" s="244" t="s">
        <v>740</v>
      </c>
      <c r="O154" s="130" t="s">
        <v>741</v>
      </c>
      <c r="P154" s="246"/>
      <c r="Q154" s="242"/>
      <c r="R154" s="242"/>
      <c r="S154" s="242"/>
      <c r="T154" s="242"/>
      <c r="U154" s="242"/>
      <c r="V154" s="243">
        <v>2022.0</v>
      </c>
      <c r="W154" s="130" t="s">
        <v>747</v>
      </c>
      <c r="X154" s="242"/>
      <c r="Y154" s="242"/>
      <c r="Z154" s="244" t="s">
        <v>728</v>
      </c>
      <c r="AA154" s="232" t="s">
        <v>748</v>
      </c>
    </row>
    <row r="155">
      <c r="A155" s="111">
        <v>166.0</v>
      </c>
      <c r="B155" s="130" t="s">
        <v>129</v>
      </c>
      <c r="C155" s="270" t="s">
        <v>343</v>
      </c>
      <c r="D155" s="130"/>
      <c r="E155" s="252" t="s">
        <v>231</v>
      </c>
      <c r="F155" s="113" t="s">
        <v>683</v>
      </c>
      <c r="G155" s="267"/>
      <c r="H155" s="254">
        <v>2021.0</v>
      </c>
      <c r="I155" s="254">
        <v>2030.0</v>
      </c>
      <c r="J155" s="255" t="s">
        <v>749</v>
      </c>
      <c r="K155" s="254">
        <v>95.0</v>
      </c>
      <c r="L155" s="130" t="s">
        <v>693</v>
      </c>
      <c r="M155" s="257">
        <v>2021.0</v>
      </c>
      <c r="N155" s="244" t="s">
        <v>740</v>
      </c>
      <c r="O155" s="130" t="s">
        <v>741</v>
      </c>
      <c r="P155" s="243">
        <v>2022.0</v>
      </c>
      <c r="Q155" s="130" t="s">
        <v>750</v>
      </c>
      <c r="R155" s="256">
        <v>0.25</v>
      </c>
      <c r="S155" s="130" t="s">
        <v>693</v>
      </c>
      <c r="T155" s="244" t="s">
        <v>728</v>
      </c>
      <c r="U155" s="130" t="s">
        <v>751</v>
      </c>
      <c r="V155" s="243">
        <v>2024.0</v>
      </c>
      <c r="W155" s="130" t="s">
        <v>752</v>
      </c>
      <c r="Y155" s="242"/>
      <c r="Z155" s="244" t="s">
        <v>717</v>
      </c>
      <c r="AA155" s="130" t="s">
        <v>745</v>
      </c>
    </row>
    <row r="156">
      <c r="A156" s="111">
        <v>169.0</v>
      </c>
      <c r="B156" s="122" t="s">
        <v>129</v>
      </c>
      <c r="C156" s="266" t="s">
        <v>207</v>
      </c>
      <c r="D156" s="122"/>
      <c r="E156" s="113" t="s">
        <v>208</v>
      </c>
      <c r="F156" s="62" t="s">
        <v>209</v>
      </c>
      <c r="G156" s="260"/>
      <c r="H156" s="121">
        <v>2021.0</v>
      </c>
      <c r="I156" s="121">
        <v>2023.0</v>
      </c>
      <c r="J156" s="261" t="s">
        <v>753</v>
      </c>
      <c r="K156" s="120"/>
      <c r="L156" s="120"/>
      <c r="M156" s="117">
        <v>2021.0</v>
      </c>
      <c r="N156" s="123" t="s">
        <v>740</v>
      </c>
      <c r="O156" s="122" t="s">
        <v>754</v>
      </c>
      <c r="P156" s="263"/>
      <c r="Q156" s="120"/>
      <c r="R156" s="120"/>
      <c r="S156" s="120"/>
      <c r="T156" s="120"/>
      <c r="U156" s="120"/>
      <c r="V156" s="144">
        <v>2023.0</v>
      </c>
      <c r="W156" s="122" t="s">
        <v>755</v>
      </c>
      <c r="Y156" s="120"/>
      <c r="Z156" s="123" t="s">
        <v>735</v>
      </c>
      <c r="AA156" s="122" t="s">
        <v>756</v>
      </c>
    </row>
    <row r="157">
      <c r="A157" s="111">
        <v>171.0</v>
      </c>
      <c r="B157" s="122" t="s">
        <v>129</v>
      </c>
      <c r="C157" s="266" t="s">
        <v>207</v>
      </c>
      <c r="D157" s="122"/>
      <c r="E157" s="113" t="s">
        <v>231</v>
      </c>
      <c r="F157" s="113" t="s">
        <v>387</v>
      </c>
      <c r="G157" s="272"/>
      <c r="H157" s="121">
        <v>2021.0</v>
      </c>
      <c r="I157" s="121">
        <v>2022.0</v>
      </c>
      <c r="J157" s="261" t="s">
        <v>757</v>
      </c>
      <c r="K157" s="120"/>
      <c r="L157" s="120"/>
      <c r="M157" s="117">
        <v>2021.0</v>
      </c>
      <c r="N157" s="123" t="s">
        <v>740</v>
      </c>
      <c r="O157" s="122" t="s">
        <v>758</v>
      </c>
      <c r="P157" s="263"/>
      <c r="Q157" s="120"/>
      <c r="R157" s="120"/>
      <c r="S157" s="120"/>
      <c r="T157" s="120"/>
      <c r="U157" s="120"/>
      <c r="V157" s="144">
        <v>2022.0</v>
      </c>
      <c r="W157" s="122" t="s">
        <v>759</v>
      </c>
      <c r="Y157" s="120"/>
      <c r="Z157" s="123" t="s">
        <v>728</v>
      </c>
      <c r="AA157" s="122" t="s">
        <v>760</v>
      </c>
    </row>
    <row r="158">
      <c r="A158" s="111">
        <v>173.0</v>
      </c>
      <c r="B158" s="122" t="s">
        <v>129</v>
      </c>
      <c r="C158" s="264" t="s">
        <v>343</v>
      </c>
      <c r="D158" s="122"/>
      <c r="E158" s="113" t="s">
        <v>208</v>
      </c>
      <c r="F158" s="259" t="s">
        <v>263</v>
      </c>
      <c r="G158" s="115" t="s">
        <v>280</v>
      </c>
      <c r="H158" s="121">
        <v>2022.0</v>
      </c>
      <c r="I158" s="121">
        <v>2032.0</v>
      </c>
      <c r="J158" s="261" t="s">
        <v>761</v>
      </c>
      <c r="K158" s="122" t="s">
        <v>762</v>
      </c>
      <c r="L158" s="122" t="s">
        <v>693</v>
      </c>
      <c r="M158" s="117">
        <v>2022.0</v>
      </c>
      <c r="N158" s="123" t="s">
        <v>728</v>
      </c>
      <c r="O158" s="122" t="s">
        <v>763</v>
      </c>
      <c r="P158" s="144">
        <v>2021.0</v>
      </c>
      <c r="Q158" s="122" t="s">
        <v>764</v>
      </c>
      <c r="R158" s="122" t="s">
        <v>765</v>
      </c>
      <c r="S158" s="122" t="s">
        <v>370</v>
      </c>
      <c r="T158" s="123" t="s">
        <v>728</v>
      </c>
      <c r="U158" s="122" t="s">
        <v>218</v>
      </c>
      <c r="V158" s="144">
        <v>2024.0</v>
      </c>
      <c r="W158" s="122" t="s">
        <v>765</v>
      </c>
      <c r="X158" s="120"/>
      <c r="Y158" s="120"/>
      <c r="Z158" s="123" t="s">
        <v>717</v>
      </c>
      <c r="AA158" s="122" t="s">
        <v>766</v>
      </c>
    </row>
    <row r="159">
      <c r="A159" s="111">
        <v>174.0</v>
      </c>
      <c r="B159" s="130" t="s">
        <v>129</v>
      </c>
      <c r="C159" s="270" t="s">
        <v>343</v>
      </c>
      <c r="D159" s="130"/>
      <c r="E159" s="252" t="s">
        <v>208</v>
      </c>
      <c r="F159" s="253" t="s">
        <v>263</v>
      </c>
      <c r="G159" s="115" t="s">
        <v>280</v>
      </c>
      <c r="H159" s="254">
        <v>2022.0</v>
      </c>
      <c r="I159" s="254">
        <v>2032.0</v>
      </c>
      <c r="J159" s="255" t="s">
        <v>767</v>
      </c>
      <c r="K159" s="130" t="s">
        <v>762</v>
      </c>
      <c r="L159" s="130" t="s">
        <v>693</v>
      </c>
      <c r="M159" s="257">
        <v>2022.0</v>
      </c>
      <c r="N159" s="244" t="s">
        <v>728</v>
      </c>
      <c r="O159" s="130" t="s">
        <v>763</v>
      </c>
      <c r="P159" s="243">
        <v>2021.0</v>
      </c>
      <c r="Q159" s="130" t="s">
        <v>768</v>
      </c>
      <c r="R159" s="130" t="s">
        <v>769</v>
      </c>
      <c r="S159" s="130" t="s">
        <v>370</v>
      </c>
      <c r="T159" s="244" t="s">
        <v>728</v>
      </c>
      <c r="U159" s="130" t="s">
        <v>770</v>
      </c>
      <c r="V159" s="243">
        <v>2024.0</v>
      </c>
      <c r="W159" s="130" t="s">
        <v>765</v>
      </c>
      <c r="X159" s="242"/>
      <c r="Y159" s="242"/>
      <c r="Z159" s="244" t="s">
        <v>717</v>
      </c>
      <c r="AA159" s="130" t="s">
        <v>766</v>
      </c>
    </row>
    <row r="160">
      <c r="A160" s="111">
        <v>175.0</v>
      </c>
      <c r="B160" s="122" t="s">
        <v>129</v>
      </c>
      <c r="C160" s="264" t="s">
        <v>343</v>
      </c>
      <c r="D160" s="122"/>
      <c r="E160" s="113" t="s">
        <v>208</v>
      </c>
      <c r="F160" s="259" t="s">
        <v>263</v>
      </c>
      <c r="G160" s="115" t="s">
        <v>379</v>
      </c>
      <c r="H160" s="121">
        <v>2022.0</v>
      </c>
      <c r="I160" s="121">
        <v>2050.0</v>
      </c>
      <c r="J160" s="261" t="s">
        <v>771</v>
      </c>
      <c r="K160" s="120"/>
      <c r="L160" s="120"/>
      <c r="M160" s="117">
        <v>2022.0</v>
      </c>
      <c r="N160" s="123" t="s">
        <v>728</v>
      </c>
      <c r="O160" s="122" t="s">
        <v>763</v>
      </c>
      <c r="P160" s="144">
        <v>2021.0</v>
      </c>
      <c r="Q160" s="120"/>
      <c r="R160" s="120"/>
      <c r="S160" s="120"/>
      <c r="T160" s="120"/>
      <c r="U160" s="120"/>
      <c r="V160" s="263"/>
      <c r="W160" s="120"/>
      <c r="X160" s="120"/>
      <c r="Y160" s="120"/>
      <c r="Z160" s="120"/>
      <c r="AA160" s="120"/>
    </row>
    <row r="161">
      <c r="A161" s="111">
        <v>176.0</v>
      </c>
      <c r="B161" s="130" t="s">
        <v>129</v>
      </c>
      <c r="C161" s="270" t="s">
        <v>343</v>
      </c>
      <c r="D161" s="130"/>
      <c r="E161" s="252" t="s">
        <v>208</v>
      </c>
      <c r="F161" s="253" t="s">
        <v>263</v>
      </c>
      <c r="G161" s="115" t="s">
        <v>280</v>
      </c>
      <c r="H161" s="254">
        <v>2022.0</v>
      </c>
      <c r="I161" s="254">
        <v>2050.0</v>
      </c>
      <c r="J161" s="255" t="s">
        <v>772</v>
      </c>
      <c r="K161" s="256">
        <v>-0.9</v>
      </c>
      <c r="L161" s="242"/>
      <c r="M161" s="257">
        <v>2022.0</v>
      </c>
      <c r="N161" s="244" t="s">
        <v>728</v>
      </c>
      <c r="O161" s="130" t="s">
        <v>763</v>
      </c>
      <c r="P161" s="243">
        <v>2021.0</v>
      </c>
      <c r="Q161" s="242"/>
      <c r="R161" s="242"/>
      <c r="S161" s="242"/>
      <c r="T161" s="242"/>
      <c r="U161" s="242"/>
      <c r="V161" s="273">
        <v>2024.0</v>
      </c>
      <c r="W161" s="274" t="s">
        <v>765</v>
      </c>
      <c r="X161" s="275"/>
      <c r="Y161" s="275"/>
      <c r="Z161" s="244" t="s">
        <v>717</v>
      </c>
      <c r="AA161" s="130" t="s">
        <v>766</v>
      </c>
    </row>
    <row r="162">
      <c r="A162" s="111">
        <v>177.0</v>
      </c>
      <c r="B162" s="122" t="s">
        <v>129</v>
      </c>
      <c r="C162" s="264" t="s">
        <v>343</v>
      </c>
      <c r="D162" s="122"/>
      <c r="E162" s="113" t="s">
        <v>208</v>
      </c>
      <c r="F162" s="259" t="s">
        <v>263</v>
      </c>
      <c r="G162" s="115" t="s">
        <v>280</v>
      </c>
      <c r="H162" s="121">
        <v>2022.0</v>
      </c>
      <c r="I162" s="121">
        <v>2050.0</v>
      </c>
      <c r="J162" s="261" t="s">
        <v>773</v>
      </c>
      <c r="K162" s="262">
        <v>-0.9</v>
      </c>
      <c r="L162" s="120"/>
      <c r="M162" s="117">
        <v>2022.0</v>
      </c>
      <c r="N162" s="123" t="s">
        <v>728</v>
      </c>
      <c r="O162" s="122" t="s">
        <v>763</v>
      </c>
      <c r="P162" s="144">
        <v>2021.0</v>
      </c>
      <c r="Q162" s="120"/>
      <c r="R162" s="120"/>
      <c r="S162" s="120"/>
      <c r="T162" s="120"/>
      <c r="U162" s="120"/>
      <c r="V162" s="144">
        <v>2024.0</v>
      </c>
      <c r="W162" s="122" t="s">
        <v>765</v>
      </c>
      <c r="X162" s="120"/>
      <c r="Y162" s="120"/>
      <c r="Z162" s="123" t="s">
        <v>717</v>
      </c>
      <c r="AA162" s="122" t="s">
        <v>766</v>
      </c>
    </row>
    <row r="163">
      <c r="A163" s="111">
        <v>178.0</v>
      </c>
      <c r="B163" s="122" t="s">
        <v>129</v>
      </c>
      <c r="C163" s="264" t="s">
        <v>343</v>
      </c>
      <c r="D163" s="122"/>
      <c r="E163" s="113" t="s">
        <v>208</v>
      </c>
      <c r="F163" s="259" t="s">
        <v>258</v>
      </c>
      <c r="G163" s="115" t="s">
        <v>494</v>
      </c>
      <c r="H163" s="121">
        <v>2022.0</v>
      </c>
      <c r="I163" s="121">
        <v>2027.0</v>
      </c>
      <c r="J163" s="261" t="s">
        <v>774</v>
      </c>
      <c r="K163" s="262">
        <v>1.0</v>
      </c>
      <c r="L163" s="122" t="s">
        <v>693</v>
      </c>
      <c r="M163" s="117">
        <v>2022.0</v>
      </c>
      <c r="N163" s="123" t="s">
        <v>728</v>
      </c>
      <c r="O163" s="122" t="s">
        <v>729</v>
      </c>
      <c r="P163" s="263"/>
      <c r="Q163" s="276"/>
      <c r="R163" s="120"/>
      <c r="S163" s="120"/>
      <c r="T163" s="120"/>
      <c r="U163" s="120"/>
      <c r="V163" s="263"/>
      <c r="W163" s="120"/>
      <c r="X163" s="262">
        <v>0.7</v>
      </c>
      <c r="Y163" s="122" t="s">
        <v>693</v>
      </c>
      <c r="Z163" s="123" t="s">
        <v>717</v>
      </c>
      <c r="AA163" s="122" t="s">
        <v>775</v>
      </c>
    </row>
    <row r="164">
      <c r="A164" s="111">
        <v>179.0</v>
      </c>
      <c r="B164" s="130" t="s">
        <v>129</v>
      </c>
      <c r="C164" s="277" t="s">
        <v>207</v>
      </c>
      <c r="D164" s="130"/>
      <c r="E164" s="113" t="s">
        <v>208</v>
      </c>
      <c r="F164" s="253" t="s">
        <v>258</v>
      </c>
      <c r="G164" s="115" t="s">
        <v>494</v>
      </c>
      <c r="H164" s="254">
        <v>2022.0</v>
      </c>
      <c r="I164" s="254">
        <v>2024.0</v>
      </c>
      <c r="J164" s="255" t="s">
        <v>776</v>
      </c>
      <c r="K164" s="256">
        <v>1.0</v>
      </c>
      <c r="L164" s="130" t="s">
        <v>693</v>
      </c>
      <c r="M164" s="257">
        <v>2022.0</v>
      </c>
      <c r="N164" s="244" t="s">
        <v>728</v>
      </c>
      <c r="O164" s="130" t="s">
        <v>729</v>
      </c>
      <c r="P164" s="246"/>
      <c r="Q164" s="242"/>
      <c r="R164" s="242"/>
      <c r="S164" s="242"/>
      <c r="T164" s="242"/>
      <c r="U164" s="242"/>
      <c r="V164" s="243">
        <v>2024.0</v>
      </c>
      <c r="W164" s="130" t="s">
        <v>777</v>
      </c>
      <c r="X164" s="232">
        <v>100.0</v>
      </c>
      <c r="Y164" s="232" t="s">
        <v>778</v>
      </c>
      <c r="Z164" s="244" t="s">
        <v>717</v>
      </c>
      <c r="AA164" s="130" t="s">
        <v>775</v>
      </c>
    </row>
    <row r="165">
      <c r="A165" s="111">
        <v>180.0</v>
      </c>
      <c r="B165" s="122" t="s">
        <v>129</v>
      </c>
      <c r="C165" s="264" t="s">
        <v>343</v>
      </c>
      <c r="D165" s="122"/>
      <c r="E165" s="113" t="s">
        <v>231</v>
      </c>
      <c r="F165" s="259" t="s">
        <v>263</v>
      </c>
      <c r="G165" s="134"/>
      <c r="H165" s="121">
        <v>2022.0</v>
      </c>
      <c r="I165" s="121">
        <v>2025.0</v>
      </c>
      <c r="J165" s="261" t="s">
        <v>779</v>
      </c>
      <c r="K165" s="262">
        <v>1.0</v>
      </c>
      <c r="L165" s="122" t="s">
        <v>693</v>
      </c>
      <c r="M165" s="117">
        <v>2022.0</v>
      </c>
      <c r="N165" s="123" t="s">
        <v>728</v>
      </c>
      <c r="O165" s="122" t="s">
        <v>729</v>
      </c>
      <c r="P165" s="263"/>
      <c r="Q165" s="120"/>
      <c r="R165" s="120"/>
      <c r="S165" s="120"/>
      <c r="T165" s="120"/>
      <c r="U165" s="120"/>
      <c r="V165" s="144">
        <v>2024.0</v>
      </c>
      <c r="W165" s="120"/>
      <c r="X165" s="262">
        <v>0.44</v>
      </c>
      <c r="Y165" s="120"/>
      <c r="Z165" s="123" t="s">
        <v>717</v>
      </c>
      <c r="AA165" s="122" t="s">
        <v>775</v>
      </c>
    </row>
    <row r="166">
      <c r="A166" s="111">
        <v>181.0</v>
      </c>
      <c r="B166" s="130" t="s">
        <v>129</v>
      </c>
      <c r="C166" s="270" t="s">
        <v>343</v>
      </c>
      <c r="D166" s="130"/>
      <c r="E166" s="252" t="s">
        <v>231</v>
      </c>
      <c r="F166" s="234" t="s">
        <v>220</v>
      </c>
      <c r="G166" s="267"/>
      <c r="H166" s="254">
        <v>2022.0</v>
      </c>
      <c r="I166" s="254">
        <v>2025.0</v>
      </c>
      <c r="J166" s="255" t="s">
        <v>780</v>
      </c>
      <c r="K166" s="247">
        <v>0.9</v>
      </c>
      <c r="L166" s="130" t="s">
        <v>693</v>
      </c>
      <c r="M166" s="257">
        <v>2022.0</v>
      </c>
      <c r="N166" s="244" t="s">
        <v>728</v>
      </c>
      <c r="O166" s="130" t="s">
        <v>729</v>
      </c>
      <c r="P166" s="246"/>
      <c r="Q166" s="242"/>
      <c r="R166" s="242"/>
      <c r="S166" s="242"/>
      <c r="T166" s="242"/>
      <c r="U166" s="242"/>
      <c r="V166" s="243">
        <v>2024.0</v>
      </c>
      <c r="W166" s="242"/>
      <c r="X166" s="130" t="s">
        <v>781</v>
      </c>
      <c r="Y166" s="242"/>
      <c r="Z166" s="244" t="s">
        <v>717</v>
      </c>
      <c r="AA166" s="130" t="s">
        <v>782</v>
      </c>
    </row>
    <row r="167">
      <c r="A167" s="111">
        <v>190.0</v>
      </c>
      <c r="B167" s="122" t="s">
        <v>129</v>
      </c>
      <c r="C167" s="264" t="s">
        <v>343</v>
      </c>
      <c r="D167" s="122"/>
      <c r="E167" s="113" t="s">
        <v>208</v>
      </c>
      <c r="F167" s="259" t="s">
        <v>263</v>
      </c>
      <c r="G167" s="115" t="s">
        <v>280</v>
      </c>
      <c r="H167" s="121">
        <v>2024.0</v>
      </c>
      <c r="I167" s="121">
        <v>2032.0</v>
      </c>
      <c r="J167" s="261" t="s">
        <v>783</v>
      </c>
      <c r="K167" s="122" t="s">
        <v>784</v>
      </c>
      <c r="L167" s="122" t="s">
        <v>693</v>
      </c>
      <c r="M167" s="117">
        <v>2024.0</v>
      </c>
      <c r="N167" s="123" t="s">
        <v>717</v>
      </c>
      <c r="O167" s="122" t="s">
        <v>766</v>
      </c>
      <c r="P167" s="263"/>
      <c r="Q167" s="120"/>
      <c r="R167" s="120"/>
      <c r="S167" s="120"/>
      <c r="T167" s="120"/>
      <c r="U167" s="120"/>
      <c r="V167" s="263"/>
      <c r="W167" s="120"/>
      <c r="X167" s="120"/>
      <c r="Y167" s="120"/>
      <c r="Z167" s="120"/>
      <c r="AA167" s="120"/>
    </row>
    <row r="168">
      <c r="A168" s="111">
        <v>191.0</v>
      </c>
      <c r="B168" s="130" t="s">
        <v>129</v>
      </c>
      <c r="C168" s="270" t="s">
        <v>343</v>
      </c>
      <c r="D168" s="130"/>
      <c r="E168" s="252" t="s">
        <v>383</v>
      </c>
      <c r="F168" s="234" t="s">
        <v>720</v>
      </c>
      <c r="G168" s="134"/>
      <c r="H168" s="254">
        <v>2024.0</v>
      </c>
      <c r="I168" s="254">
        <v>2025.0</v>
      </c>
      <c r="J168" s="255" t="s">
        <v>785</v>
      </c>
      <c r="K168" s="242"/>
      <c r="L168" s="242"/>
      <c r="M168" s="117">
        <v>2024.0</v>
      </c>
      <c r="N168" s="123" t="s">
        <v>717</v>
      </c>
      <c r="O168" s="242"/>
      <c r="P168" s="246"/>
      <c r="Q168" s="242"/>
      <c r="R168" s="242"/>
      <c r="S168" s="242"/>
      <c r="T168" s="242"/>
      <c r="U168" s="242"/>
      <c r="V168" s="246"/>
      <c r="W168" s="242"/>
      <c r="X168" s="242"/>
      <c r="Y168" s="242"/>
      <c r="Z168" s="242"/>
      <c r="AA168" s="242"/>
    </row>
    <row r="169">
      <c r="A169" s="111">
        <v>195.0</v>
      </c>
      <c r="B169" s="130" t="s">
        <v>129</v>
      </c>
      <c r="C169" s="270" t="s">
        <v>343</v>
      </c>
      <c r="D169" s="130"/>
      <c r="E169" s="252" t="s">
        <v>208</v>
      </c>
      <c r="F169" s="234" t="s">
        <v>220</v>
      </c>
      <c r="G169" s="134" t="s">
        <v>374</v>
      </c>
      <c r="H169" s="254">
        <v>2024.0</v>
      </c>
      <c r="I169" s="254">
        <v>2025.0</v>
      </c>
      <c r="J169" s="255" t="s">
        <v>786</v>
      </c>
      <c r="K169" s="256">
        <v>1.0</v>
      </c>
      <c r="L169" s="130" t="s">
        <v>693</v>
      </c>
      <c r="M169" s="257">
        <v>2024.0</v>
      </c>
      <c r="N169" s="244" t="s">
        <v>717</v>
      </c>
      <c r="O169" s="130" t="s">
        <v>317</v>
      </c>
      <c r="P169" s="246"/>
      <c r="Q169" s="242"/>
      <c r="R169" s="242"/>
      <c r="S169" s="242"/>
      <c r="T169" s="242"/>
      <c r="U169" s="242"/>
      <c r="V169" s="246"/>
      <c r="W169" s="242"/>
      <c r="X169" s="242"/>
      <c r="Y169" s="242"/>
      <c r="Z169" s="242"/>
      <c r="AA169" s="242"/>
    </row>
    <row r="170">
      <c r="A170" s="111">
        <v>196.0</v>
      </c>
      <c r="B170" s="122" t="s">
        <v>129</v>
      </c>
      <c r="C170" s="264" t="s">
        <v>343</v>
      </c>
      <c r="D170" s="122"/>
      <c r="E170" s="113" t="s">
        <v>208</v>
      </c>
      <c r="F170" s="259" t="s">
        <v>267</v>
      </c>
      <c r="G170" s="260"/>
      <c r="H170" s="121">
        <v>2024.0</v>
      </c>
      <c r="I170" s="121">
        <v>2027.0</v>
      </c>
      <c r="J170" s="261" t="s">
        <v>787</v>
      </c>
      <c r="K170" s="262">
        <v>0.07</v>
      </c>
      <c r="L170" s="122" t="s">
        <v>693</v>
      </c>
      <c r="M170" s="117">
        <v>2024.0</v>
      </c>
      <c r="N170" s="123" t="s">
        <v>717</v>
      </c>
      <c r="O170" s="122" t="s">
        <v>317</v>
      </c>
      <c r="P170" s="263"/>
      <c r="Q170" s="120"/>
      <c r="R170" s="120"/>
      <c r="S170" s="120"/>
      <c r="T170" s="120"/>
      <c r="U170" s="120"/>
      <c r="V170" s="263"/>
      <c r="W170" s="120"/>
      <c r="X170" s="120"/>
      <c r="Y170" s="120"/>
      <c r="Z170" s="120"/>
      <c r="AA170" s="120"/>
    </row>
    <row r="171">
      <c r="A171" s="111">
        <v>197.0</v>
      </c>
      <c r="B171" s="130" t="s">
        <v>129</v>
      </c>
      <c r="C171" s="270" t="s">
        <v>343</v>
      </c>
      <c r="D171" s="130"/>
      <c r="E171" s="113" t="s">
        <v>208</v>
      </c>
      <c r="F171" s="253" t="s">
        <v>267</v>
      </c>
      <c r="G171" s="267"/>
      <c r="H171" s="254">
        <v>2024.0</v>
      </c>
      <c r="I171" s="254">
        <v>2027.0</v>
      </c>
      <c r="J171" s="255" t="s">
        <v>788</v>
      </c>
      <c r="K171" s="256">
        <v>0.03</v>
      </c>
      <c r="L171" s="130" t="s">
        <v>693</v>
      </c>
      <c r="M171" s="257">
        <v>2024.0</v>
      </c>
      <c r="N171" s="244" t="s">
        <v>717</v>
      </c>
      <c r="O171" s="130" t="s">
        <v>317</v>
      </c>
      <c r="P171" s="246"/>
      <c r="Q171" s="242"/>
      <c r="R171" s="242"/>
      <c r="S171" s="242"/>
      <c r="T171" s="242"/>
      <c r="U171" s="242"/>
      <c r="V171" s="246"/>
      <c r="W171" s="242"/>
      <c r="X171" s="242"/>
      <c r="Y171" s="242"/>
      <c r="Z171" s="242"/>
      <c r="AA171" s="242"/>
    </row>
    <row r="172">
      <c r="A172" s="111">
        <v>199.0</v>
      </c>
      <c r="B172" s="232" t="s">
        <v>140</v>
      </c>
      <c r="C172" s="233" t="s">
        <v>343</v>
      </c>
      <c r="D172" s="232"/>
      <c r="E172" s="252" t="s">
        <v>208</v>
      </c>
      <c r="F172" s="234" t="s">
        <v>263</v>
      </c>
      <c r="G172" s="115" t="s">
        <v>264</v>
      </c>
      <c r="H172" s="249">
        <v>2020.0</v>
      </c>
      <c r="I172" s="131">
        <v>2030.0</v>
      </c>
      <c r="J172" s="236" t="s">
        <v>789</v>
      </c>
      <c r="K172" s="237">
        <v>0.5</v>
      </c>
      <c r="L172" s="238" t="s">
        <v>693</v>
      </c>
      <c r="M172" s="250">
        <v>2020.0</v>
      </c>
      <c r="N172" s="248" t="s">
        <v>790</v>
      </c>
      <c r="O172" s="238" t="s">
        <v>791</v>
      </c>
      <c r="P172" s="241"/>
      <c r="Q172" s="242"/>
      <c r="R172" s="242"/>
      <c r="S172" s="242"/>
      <c r="T172" s="242"/>
      <c r="U172" s="242"/>
      <c r="V172" s="243"/>
      <c r="W172" s="130"/>
      <c r="X172" s="130"/>
      <c r="Y172" s="242"/>
      <c r="Z172" s="244"/>
      <c r="AA172" s="130"/>
    </row>
    <row r="173">
      <c r="A173" s="111">
        <v>200.0</v>
      </c>
      <c r="B173" s="232" t="s">
        <v>140</v>
      </c>
      <c r="C173" s="233" t="s">
        <v>343</v>
      </c>
      <c r="D173" s="232"/>
      <c r="E173" s="252" t="s">
        <v>208</v>
      </c>
      <c r="F173" s="234" t="s">
        <v>258</v>
      </c>
      <c r="G173" s="115" t="s">
        <v>494</v>
      </c>
      <c r="H173" s="249">
        <v>2020.0</v>
      </c>
      <c r="I173" s="131">
        <v>2030.0</v>
      </c>
      <c r="J173" s="236" t="s">
        <v>792</v>
      </c>
      <c r="K173" s="237">
        <v>1.0</v>
      </c>
      <c r="L173" s="238" t="s">
        <v>693</v>
      </c>
      <c r="M173" s="250">
        <v>2020.0</v>
      </c>
      <c r="N173" s="248" t="s">
        <v>790</v>
      </c>
      <c r="O173" s="232" t="s">
        <v>793</v>
      </c>
      <c r="P173" s="246"/>
      <c r="Q173" s="242"/>
      <c r="R173" s="242"/>
      <c r="S173" s="242"/>
      <c r="T173" s="242"/>
      <c r="U173" s="242"/>
      <c r="V173" s="243"/>
      <c r="W173" s="130"/>
      <c r="X173" s="130"/>
      <c r="Y173" s="242"/>
      <c r="Z173" s="244"/>
      <c r="AA173" s="130"/>
    </row>
    <row r="174">
      <c r="A174" s="111">
        <v>201.0</v>
      </c>
      <c r="B174" s="232" t="s">
        <v>140</v>
      </c>
      <c r="C174" s="233" t="s">
        <v>343</v>
      </c>
      <c r="D174" s="232"/>
      <c r="E174" s="252" t="s">
        <v>208</v>
      </c>
      <c r="F174" s="234" t="s">
        <v>258</v>
      </c>
      <c r="G174" s="115" t="s">
        <v>494</v>
      </c>
      <c r="H174" s="249">
        <v>2020.0</v>
      </c>
      <c r="I174" s="131">
        <v>2025.0</v>
      </c>
      <c r="J174" s="236" t="s">
        <v>794</v>
      </c>
      <c r="K174" s="237">
        <v>1.0</v>
      </c>
      <c r="L174" s="238" t="s">
        <v>693</v>
      </c>
      <c r="M174" s="250">
        <v>2020.0</v>
      </c>
      <c r="N174" s="248" t="s">
        <v>790</v>
      </c>
      <c r="O174" s="232" t="s">
        <v>793</v>
      </c>
      <c r="P174" s="246"/>
      <c r="Q174" s="242"/>
      <c r="R174" s="242"/>
      <c r="S174" s="242"/>
      <c r="T174" s="242"/>
      <c r="U174" s="242"/>
      <c r="V174" s="243"/>
      <c r="W174" s="130"/>
      <c r="X174" s="130"/>
      <c r="Y174" s="242"/>
      <c r="Z174" s="244"/>
      <c r="AA174" s="130"/>
    </row>
    <row r="175">
      <c r="A175" s="111">
        <v>202.0</v>
      </c>
      <c r="B175" s="232" t="s">
        <v>140</v>
      </c>
      <c r="C175" s="233" t="s">
        <v>343</v>
      </c>
      <c r="D175" s="232"/>
      <c r="E175" s="252" t="s">
        <v>383</v>
      </c>
      <c r="F175" s="234" t="s">
        <v>220</v>
      </c>
      <c r="G175" s="271"/>
      <c r="H175" s="249">
        <v>2020.0</v>
      </c>
      <c r="I175" s="131">
        <v>2025.0</v>
      </c>
      <c r="J175" s="236" t="s">
        <v>795</v>
      </c>
      <c r="K175" s="237">
        <v>0.25</v>
      </c>
      <c r="L175" s="238" t="s">
        <v>693</v>
      </c>
      <c r="M175" s="250">
        <v>2020.0</v>
      </c>
      <c r="N175" s="248" t="s">
        <v>790</v>
      </c>
      <c r="O175" s="232" t="s">
        <v>796</v>
      </c>
      <c r="P175" s="246"/>
      <c r="Q175" s="242"/>
      <c r="R175" s="242"/>
      <c r="S175" s="242"/>
      <c r="T175" s="242"/>
      <c r="U175" s="242"/>
      <c r="V175" s="243"/>
      <c r="W175" s="130"/>
      <c r="X175" s="130"/>
      <c r="Y175" s="242"/>
      <c r="Z175" s="244"/>
      <c r="AA175" s="130"/>
    </row>
    <row r="176">
      <c r="A176" s="111">
        <v>204.0</v>
      </c>
      <c r="B176" s="232" t="s">
        <v>140</v>
      </c>
      <c r="C176" s="278" t="s">
        <v>343</v>
      </c>
      <c r="D176" s="232"/>
      <c r="E176" s="252" t="s">
        <v>208</v>
      </c>
      <c r="F176" s="234" t="s">
        <v>263</v>
      </c>
      <c r="G176" s="115" t="s">
        <v>280</v>
      </c>
      <c r="H176" s="249">
        <v>2020.0</v>
      </c>
      <c r="I176" s="131">
        <v>2030.0</v>
      </c>
      <c r="J176" s="236" t="s">
        <v>797</v>
      </c>
      <c r="K176" s="238" t="s">
        <v>798</v>
      </c>
      <c r="L176" s="238" t="s">
        <v>693</v>
      </c>
      <c r="M176" s="250">
        <v>2020.0</v>
      </c>
      <c r="N176" s="248" t="s">
        <v>790</v>
      </c>
      <c r="O176" s="232" t="s">
        <v>799</v>
      </c>
      <c r="P176" s="241">
        <v>2018.0</v>
      </c>
      <c r="Q176" s="242"/>
      <c r="R176" s="242"/>
      <c r="S176" s="238" t="s">
        <v>693</v>
      </c>
      <c r="T176" s="248" t="s">
        <v>790</v>
      </c>
      <c r="U176" s="238" t="s">
        <v>800</v>
      </c>
      <c r="V176" s="129">
        <v>2024.0</v>
      </c>
      <c r="W176" s="130"/>
      <c r="X176" s="232" t="s">
        <v>801</v>
      </c>
      <c r="Y176" s="238" t="s">
        <v>802</v>
      </c>
      <c r="Z176" s="279" t="s">
        <v>803</v>
      </c>
      <c r="AA176" s="232" t="s">
        <v>804</v>
      </c>
    </row>
    <row r="177">
      <c r="A177" s="111">
        <v>205.0</v>
      </c>
      <c r="B177" s="232" t="s">
        <v>140</v>
      </c>
      <c r="C177" s="233" t="s">
        <v>343</v>
      </c>
      <c r="D177" s="232"/>
      <c r="E177" s="252" t="s">
        <v>208</v>
      </c>
      <c r="F177" s="234" t="s">
        <v>263</v>
      </c>
      <c r="G177" s="115" t="s">
        <v>264</v>
      </c>
      <c r="H177" s="249">
        <v>2020.0</v>
      </c>
      <c r="I177" s="131">
        <v>2030.0</v>
      </c>
      <c r="J177" s="236" t="s">
        <v>805</v>
      </c>
      <c r="K177" s="238" t="s">
        <v>806</v>
      </c>
      <c r="L177" s="238" t="s">
        <v>693</v>
      </c>
      <c r="M177" s="250">
        <v>2020.0</v>
      </c>
      <c r="N177" s="248" t="s">
        <v>790</v>
      </c>
      <c r="O177" s="232" t="s">
        <v>799</v>
      </c>
      <c r="P177" s="241">
        <v>2018.0</v>
      </c>
      <c r="Q177" s="242"/>
      <c r="R177" s="242"/>
      <c r="S177" s="238" t="s">
        <v>693</v>
      </c>
      <c r="T177" s="248" t="s">
        <v>790</v>
      </c>
      <c r="U177" s="238" t="s">
        <v>800</v>
      </c>
      <c r="V177" s="243"/>
      <c r="W177" s="130"/>
      <c r="X177" s="130"/>
      <c r="Y177" s="242"/>
      <c r="Z177" s="244"/>
      <c r="AA177" s="130"/>
    </row>
    <row r="178">
      <c r="A178" s="111">
        <v>206.0</v>
      </c>
      <c r="B178" s="232" t="s">
        <v>140</v>
      </c>
      <c r="C178" s="233" t="s">
        <v>343</v>
      </c>
      <c r="D178" s="232"/>
      <c r="E178" s="252" t="s">
        <v>231</v>
      </c>
      <c r="F178" s="234" t="s">
        <v>267</v>
      </c>
      <c r="G178" s="271"/>
      <c r="H178" s="249">
        <v>2020.0</v>
      </c>
      <c r="I178" s="131">
        <v>2030.0</v>
      </c>
      <c r="J178" s="236" t="s">
        <v>807</v>
      </c>
      <c r="K178" s="238" t="s">
        <v>808</v>
      </c>
      <c r="L178" s="238" t="s">
        <v>693</v>
      </c>
      <c r="M178" s="250">
        <v>2020.0</v>
      </c>
      <c r="N178" s="248" t="s">
        <v>790</v>
      </c>
      <c r="O178" s="232" t="s">
        <v>809</v>
      </c>
      <c r="P178" s="246"/>
      <c r="Q178" s="242"/>
      <c r="R178" s="242"/>
      <c r="S178" s="242"/>
      <c r="T178" s="242"/>
      <c r="U178" s="242"/>
      <c r="V178" s="243"/>
      <c r="W178" s="130"/>
      <c r="X178" s="130"/>
      <c r="Y178" s="242"/>
      <c r="Z178" s="244"/>
      <c r="AA178" s="130"/>
    </row>
    <row r="179">
      <c r="A179" s="111">
        <v>210.0</v>
      </c>
      <c r="B179" s="280" t="s">
        <v>140</v>
      </c>
      <c r="C179" s="281" t="s">
        <v>207</v>
      </c>
      <c r="D179" s="232"/>
      <c r="E179" s="252" t="s">
        <v>231</v>
      </c>
      <c r="F179" s="282" t="s">
        <v>461</v>
      </c>
      <c r="G179" s="271"/>
      <c r="H179" s="283">
        <v>2020.0</v>
      </c>
      <c r="I179" s="284">
        <v>2022.0</v>
      </c>
      <c r="J179" s="285" t="s">
        <v>810</v>
      </c>
      <c r="K179" s="286">
        <v>0.0</v>
      </c>
      <c r="L179" s="286" t="s">
        <v>811</v>
      </c>
      <c r="M179" s="287">
        <v>2020.0</v>
      </c>
      <c r="N179" s="288" t="s">
        <v>790</v>
      </c>
      <c r="O179" s="220" t="s">
        <v>812</v>
      </c>
      <c r="P179" s="289"/>
      <c r="Q179" s="275"/>
      <c r="R179" s="275"/>
      <c r="S179" s="275"/>
      <c r="T179" s="275"/>
      <c r="U179" s="290"/>
      <c r="V179" s="215">
        <v>2022.0</v>
      </c>
      <c r="W179" s="285" t="s">
        <v>813</v>
      </c>
      <c r="X179" s="286">
        <v>0.0</v>
      </c>
      <c r="Y179" s="286" t="s">
        <v>811</v>
      </c>
      <c r="Z179" s="279" t="s">
        <v>814</v>
      </c>
      <c r="AA179" s="232" t="s">
        <v>812</v>
      </c>
    </row>
    <row r="180">
      <c r="A180" s="111">
        <v>211.0</v>
      </c>
      <c r="B180" s="291" t="s">
        <v>140</v>
      </c>
      <c r="C180" s="292" t="s">
        <v>343</v>
      </c>
      <c r="D180" s="232"/>
      <c r="E180" s="252" t="s">
        <v>231</v>
      </c>
      <c r="F180" s="293" t="s">
        <v>244</v>
      </c>
      <c r="G180" s="271"/>
      <c r="H180" s="294">
        <v>2020.0</v>
      </c>
      <c r="I180" s="295">
        <v>2030.0</v>
      </c>
      <c r="J180" s="296" t="s">
        <v>815</v>
      </c>
      <c r="K180" s="297">
        <v>1.0</v>
      </c>
      <c r="L180" s="298" t="s">
        <v>693</v>
      </c>
      <c r="M180" s="299">
        <v>2020.0</v>
      </c>
      <c r="N180" s="300" t="s">
        <v>790</v>
      </c>
      <c r="O180" s="301" t="s">
        <v>793</v>
      </c>
      <c r="P180" s="302"/>
      <c r="Q180" s="303"/>
      <c r="R180" s="303"/>
      <c r="S180" s="303"/>
      <c r="T180" s="303"/>
      <c r="U180" s="304"/>
      <c r="V180" s="305"/>
      <c r="W180" s="306"/>
      <c r="X180" s="306"/>
      <c r="Y180" s="303"/>
      <c r="Z180" s="244"/>
      <c r="AA180" s="130"/>
    </row>
    <row r="181">
      <c r="A181" s="111">
        <v>212.0</v>
      </c>
      <c r="B181" s="280" t="s">
        <v>140</v>
      </c>
      <c r="C181" s="233" t="s">
        <v>274</v>
      </c>
      <c r="D181" s="232"/>
      <c r="E181" s="252" t="s">
        <v>383</v>
      </c>
      <c r="F181" s="234" t="s">
        <v>258</v>
      </c>
      <c r="G181" s="271"/>
      <c r="H181" s="249">
        <v>2020.0</v>
      </c>
      <c r="I181" s="131">
        <v>2023.0</v>
      </c>
      <c r="J181" s="296" t="s">
        <v>816</v>
      </c>
      <c r="K181" s="237">
        <v>1.0</v>
      </c>
      <c r="L181" s="238" t="s">
        <v>693</v>
      </c>
      <c r="M181" s="250">
        <v>2020.0</v>
      </c>
      <c r="N181" s="248" t="s">
        <v>790</v>
      </c>
      <c r="O181" s="232" t="s">
        <v>817</v>
      </c>
      <c r="P181" s="246"/>
      <c r="Q181" s="242"/>
      <c r="R181" s="242"/>
      <c r="S181" s="303"/>
      <c r="T181" s="242"/>
      <c r="U181" s="242"/>
      <c r="V181" s="129">
        <v>2023.0</v>
      </c>
      <c r="W181" s="232" t="s">
        <v>818</v>
      </c>
      <c r="X181" s="232" t="s">
        <v>819</v>
      </c>
      <c r="Y181" s="298" t="s">
        <v>820</v>
      </c>
      <c r="Z181" s="279" t="s">
        <v>821</v>
      </c>
      <c r="AA181" s="232" t="s">
        <v>822</v>
      </c>
    </row>
    <row r="182">
      <c r="A182" s="111">
        <v>213.0</v>
      </c>
      <c r="B182" s="291" t="s">
        <v>140</v>
      </c>
      <c r="C182" s="233" t="s">
        <v>219</v>
      </c>
      <c r="D182" s="232"/>
      <c r="E182" s="252" t="s">
        <v>231</v>
      </c>
      <c r="F182" s="234" t="s">
        <v>220</v>
      </c>
      <c r="G182" s="134" t="s">
        <v>374</v>
      </c>
      <c r="H182" s="249">
        <v>2021.0</v>
      </c>
      <c r="I182" s="131">
        <v>2024.0</v>
      </c>
      <c r="J182" s="285" t="s">
        <v>823</v>
      </c>
      <c r="K182" s="237">
        <v>1.0</v>
      </c>
      <c r="L182" s="298" t="s">
        <v>693</v>
      </c>
      <c r="M182" s="250">
        <v>2021.0</v>
      </c>
      <c r="N182" s="248" t="s">
        <v>824</v>
      </c>
      <c r="O182" s="232" t="s">
        <v>825</v>
      </c>
      <c r="P182" s="246"/>
      <c r="Q182" s="242"/>
      <c r="R182" s="242"/>
      <c r="S182" s="303"/>
      <c r="T182" s="242"/>
      <c r="U182" s="242"/>
      <c r="V182" s="129">
        <v>2024.0</v>
      </c>
      <c r="W182" s="232" t="s">
        <v>826</v>
      </c>
      <c r="X182" s="247">
        <v>0.7</v>
      </c>
      <c r="Y182" s="298" t="s">
        <v>827</v>
      </c>
      <c r="Z182" s="279" t="s">
        <v>803</v>
      </c>
      <c r="AA182" s="232" t="s">
        <v>828</v>
      </c>
    </row>
    <row r="183">
      <c r="A183" s="111">
        <v>215.0</v>
      </c>
      <c r="B183" s="232" t="s">
        <v>140</v>
      </c>
      <c r="C183" s="233" t="s">
        <v>343</v>
      </c>
      <c r="D183" s="232"/>
      <c r="E183" s="252" t="s">
        <v>208</v>
      </c>
      <c r="F183" s="234" t="s">
        <v>263</v>
      </c>
      <c r="G183" s="115" t="s">
        <v>379</v>
      </c>
      <c r="H183" s="249">
        <v>2021.0</v>
      </c>
      <c r="I183" s="131">
        <v>2050.0</v>
      </c>
      <c r="J183" s="236" t="s">
        <v>829</v>
      </c>
      <c r="K183" s="237">
        <v>1.0</v>
      </c>
      <c r="L183" s="238" t="s">
        <v>693</v>
      </c>
      <c r="M183" s="250">
        <v>2021.0</v>
      </c>
      <c r="N183" s="288" t="s">
        <v>824</v>
      </c>
      <c r="O183" s="232" t="s">
        <v>830</v>
      </c>
      <c r="P183" s="241">
        <v>2018.0</v>
      </c>
      <c r="Q183" s="242"/>
      <c r="R183" s="242"/>
      <c r="S183" s="238" t="s">
        <v>693</v>
      </c>
      <c r="T183" s="300" t="s">
        <v>824</v>
      </c>
      <c r="U183" s="238" t="s">
        <v>831</v>
      </c>
      <c r="V183" s="243"/>
      <c r="W183" s="130"/>
      <c r="X183" s="130"/>
      <c r="Y183" s="242"/>
      <c r="Z183" s="244"/>
      <c r="AA183" s="130"/>
    </row>
    <row r="184">
      <c r="A184" s="111">
        <v>216.0</v>
      </c>
      <c r="B184" s="232" t="s">
        <v>140</v>
      </c>
      <c r="C184" s="233" t="s">
        <v>207</v>
      </c>
      <c r="D184" s="232"/>
      <c r="E184" s="252" t="s">
        <v>383</v>
      </c>
      <c r="F184" s="234" t="s">
        <v>373</v>
      </c>
      <c r="G184" s="271"/>
      <c r="H184" s="249">
        <v>2023.0</v>
      </c>
      <c r="I184" s="131">
        <v>2025.0</v>
      </c>
      <c r="J184" s="307" t="s">
        <v>832</v>
      </c>
      <c r="K184" s="237">
        <v>1.0</v>
      </c>
      <c r="L184" s="238" t="s">
        <v>693</v>
      </c>
      <c r="M184" s="250">
        <v>2023.0</v>
      </c>
      <c r="N184" s="288" t="s">
        <v>833</v>
      </c>
      <c r="O184" s="232" t="s">
        <v>834</v>
      </c>
      <c r="P184" s="246"/>
      <c r="Q184" s="242"/>
      <c r="R184" s="242"/>
      <c r="S184" s="242"/>
      <c r="T184" s="303"/>
      <c r="U184" s="242"/>
      <c r="V184" s="129">
        <v>2025.0</v>
      </c>
      <c r="W184" s="232" t="s">
        <v>832</v>
      </c>
      <c r="X184" s="247">
        <v>1.0</v>
      </c>
      <c r="Y184" s="238" t="s">
        <v>835</v>
      </c>
      <c r="Z184" s="308" t="s">
        <v>803</v>
      </c>
      <c r="AA184" s="232" t="s">
        <v>836</v>
      </c>
    </row>
    <row r="185">
      <c r="A185" s="111">
        <v>217.0</v>
      </c>
      <c r="B185" s="232" t="s">
        <v>140</v>
      </c>
      <c r="C185" s="233" t="s">
        <v>274</v>
      </c>
      <c r="D185" s="232"/>
      <c r="E185" s="252" t="s">
        <v>383</v>
      </c>
      <c r="F185" s="234" t="s">
        <v>683</v>
      </c>
      <c r="G185" s="271"/>
      <c r="H185" s="249">
        <v>2021.0</v>
      </c>
      <c r="I185" s="131">
        <v>2024.0</v>
      </c>
      <c r="J185" s="236" t="s">
        <v>837</v>
      </c>
      <c r="K185" s="237">
        <v>1.0</v>
      </c>
      <c r="L185" s="238" t="s">
        <v>693</v>
      </c>
      <c r="M185" s="250">
        <v>2021.0</v>
      </c>
      <c r="N185" s="288" t="s">
        <v>824</v>
      </c>
      <c r="O185" s="232" t="s">
        <v>838</v>
      </c>
      <c r="P185" s="246"/>
      <c r="Q185" s="242"/>
      <c r="R185" s="242"/>
      <c r="S185" s="242"/>
      <c r="T185" s="242"/>
      <c r="U185" s="242"/>
      <c r="V185" s="129">
        <v>2024.0</v>
      </c>
      <c r="W185" s="232" t="s">
        <v>839</v>
      </c>
      <c r="X185" s="247">
        <v>0.9</v>
      </c>
      <c r="Y185" s="238" t="s">
        <v>840</v>
      </c>
      <c r="Z185" s="279" t="s">
        <v>821</v>
      </c>
      <c r="AA185" s="232" t="s">
        <v>834</v>
      </c>
    </row>
    <row r="186">
      <c r="A186" s="111">
        <v>219.0</v>
      </c>
      <c r="B186" s="232" t="s">
        <v>140</v>
      </c>
      <c r="C186" s="233" t="s">
        <v>274</v>
      </c>
      <c r="D186" s="232"/>
      <c r="E186" s="252" t="s">
        <v>383</v>
      </c>
      <c r="F186" s="234" t="s">
        <v>683</v>
      </c>
      <c r="G186" s="271"/>
      <c r="H186" s="249">
        <v>2022.0</v>
      </c>
      <c r="I186" s="131">
        <v>2024.0</v>
      </c>
      <c r="J186" s="236" t="s">
        <v>841</v>
      </c>
      <c r="K186" s="237">
        <v>0.8</v>
      </c>
      <c r="L186" s="238" t="s">
        <v>693</v>
      </c>
      <c r="M186" s="250">
        <v>2022.0</v>
      </c>
      <c r="N186" s="248" t="s">
        <v>842</v>
      </c>
      <c r="O186" s="232" t="s">
        <v>843</v>
      </c>
      <c r="P186" s="246"/>
      <c r="Q186" s="242"/>
      <c r="R186" s="242"/>
      <c r="S186" s="242"/>
      <c r="T186" s="303"/>
      <c r="U186" s="242"/>
      <c r="V186" s="129">
        <v>2024.0</v>
      </c>
      <c r="W186" s="232" t="s">
        <v>841</v>
      </c>
      <c r="X186" s="247">
        <v>0.71</v>
      </c>
      <c r="Y186" s="238" t="s">
        <v>844</v>
      </c>
      <c r="Z186" s="279" t="s">
        <v>821</v>
      </c>
      <c r="AA186" s="232" t="s">
        <v>845</v>
      </c>
    </row>
    <row r="187">
      <c r="A187" s="111">
        <v>220.0</v>
      </c>
      <c r="B187" s="232" t="s">
        <v>140</v>
      </c>
      <c r="C187" s="233" t="s">
        <v>274</v>
      </c>
      <c r="D187" s="232"/>
      <c r="E187" s="252" t="s">
        <v>231</v>
      </c>
      <c r="F187" s="234" t="s">
        <v>258</v>
      </c>
      <c r="G187" s="271"/>
      <c r="H187" s="249">
        <v>2022.0</v>
      </c>
      <c r="I187" s="131">
        <v>2024.0</v>
      </c>
      <c r="J187" s="236" t="s">
        <v>846</v>
      </c>
      <c r="K187" s="237">
        <v>0.1</v>
      </c>
      <c r="L187" s="238" t="s">
        <v>693</v>
      </c>
      <c r="M187" s="250">
        <v>2022.0</v>
      </c>
      <c r="N187" s="288" t="s">
        <v>842</v>
      </c>
      <c r="O187" s="232" t="s">
        <v>847</v>
      </c>
      <c r="P187" s="241">
        <v>2019.0</v>
      </c>
      <c r="Q187" s="242"/>
      <c r="R187" s="242"/>
      <c r="S187" s="238"/>
      <c r="T187" s="248" t="s">
        <v>842</v>
      </c>
      <c r="U187" s="238" t="s">
        <v>848</v>
      </c>
      <c r="V187" s="129">
        <v>2023.0</v>
      </c>
      <c r="W187" s="232" t="s">
        <v>849</v>
      </c>
      <c r="X187" s="232" t="s">
        <v>850</v>
      </c>
      <c r="Y187" s="238" t="s">
        <v>851</v>
      </c>
      <c r="Z187" s="279" t="s">
        <v>821</v>
      </c>
      <c r="AA187" s="232" t="s">
        <v>847</v>
      </c>
    </row>
    <row r="188">
      <c r="A188" s="111">
        <v>224.0</v>
      </c>
      <c r="B188" s="291" t="s">
        <v>140</v>
      </c>
      <c r="C188" s="292" t="s">
        <v>343</v>
      </c>
      <c r="D188" s="232"/>
      <c r="E188" s="309" t="s">
        <v>231</v>
      </c>
      <c r="F188" s="293" t="s">
        <v>263</v>
      </c>
      <c r="G188" s="174" t="s">
        <v>280</v>
      </c>
      <c r="H188" s="294">
        <v>2022.0</v>
      </c>
      <c r="I188" s="295">
        <v>2040.0</v>
      </c>
      <c r="J188" s="310" t="s">
        <v>852</v>
      </c>
      <c r="K188" s="297">
        <v>0.5</v>
      </c>
      <c r="L188" s="298" t="s">
        <v>693</v>
      </c>
      <c r="M188" s="299">
        <v>2022.0</v>
      </c>
      <c r="N188" s="300" t="s">
        <v>842</v>
      </c>
      <c r="O188" s="301" t="s">
        <v>843</v>
      </c>
      <c r="P188" s="302"/>
      <c r="Q188" s="303"/>
      <c r="R188" s="303"/>
      <c r="S188" s="303"/>
      <c r="T188" s="303"/>
      <c r="U188" s="304"/>
      <c r="V188" s="305"/>
      <c r="W188" s="306"/>
      <c r="X188" s="306"/>
      <c r="Y188" s="242"/>
      <c r="Z188" s="311"/>
      <c r="AA188" s="312"/>
    </row>
    <row r="189">
      <c r="A189" s="111">
        <v>225.0</v>
      </c>
      <c r="B189" s="280" t="s">
        <v>140</v>
      </c>
      <c r="C189" s="281" t="s">
        <v>343</v>
      </c>
      <c r="D189" s="232"/>
      <c r="E189" s="313" t="s">
        <v>231</v>
      </c>
      <c r="F189" s="282" t="s">
        <v>263</v>
      </c>
      <c r="G189" s="161" t="s">
        <v>280</v>
      </c>
      <c r="H189" s="283">
        <v>2022.0</v>
      </c>
      <c r="I189" s="284">
        <v>2050.0</v>
      </c>
      <c r="J189" s="314" t="s">
        <v>853</v>
      </c>
      <c r="K189" s="315">
        <v>1.0</v>
      </c>
      <c r="L189" s="286" t="s">
        <v>693</v>
      </c>
      <c r="M189" s="287">
        <v>2022.0</v>
      </c>
      <c r="N189" s="288" t="s">
        <v>842</v>
      </c>
      <c r="O189" s="220" t="s">
        <v>843</v>
      </c>
      <c r="P189" s="289"/>
      <c r="Q189" s="275"/>
      <c r="R189" s="275"/>
      <c r="S189" s="275"/>
      <c r="T189" s="275"/>
      <c r="U189" s="290"/>
      <c r="V189" s="273"/>
      <c r="W189" s="274"/>
      <c r="X189" s="274"/>
      <c r="Y189" s="242"/>
      <c r="Z189" s="316"/>
      <c r="AA189" s="317"/>
    </row>
    <row r="190">
      <c r="A190" s="111">
        <v>226.0</v>
      </c>
      <c r="B190" s="291" t="s">
        <v>140</v>
      </c>
      <c r="C190" s="292" t="s">
        <v>274</v>
      </c>
      <c r="D190" s="232"/>
      <c r="E190" s="309" t="s">
        <v>383</v>
      </c>
      <c r="F190" s="293" t="s">
        <v>220</v>
      </c>
      <c r="G190" s="318" t="s">
        <v>374</v>
      </c>
      <c r="H190" s="294">
        <v>2023.0</v>
      </c>
      <c r="I190" s="295">
        <v>2024.0</v>
      </c>
      <c r="J190" s="296" t="s">
        <v>854</v>
      </c>
      <c r="K190" s="297">
        <v>0.75</v>
      </c>
      <c r="L190" s="298" t="s">
        <v>693</v>
      </c>
      <c r="M190" s="299">
        <v>2023.0</v>
      </c>
      <c r="N190" s="300" t="s">
        <v>833</v>
      </c>
      <c r="O190" s="301" t="s">
        <v>834</v>
      </c>
      <c r="P190" s="319">
        <v>2021.0</v>
      </c>
      <c r="Q190" s="303"/>
      <c r="R190" s="303"/>
      <c r="S190" s="303"/>
      <c r="T190" s="303"/>
      <c r="U190" s="304"/>
      <c r="V190" s="320">
        <v>2024.0</v>
      </c>
      <c r="W190" s="321" t="s">
        <v>855</v>
      </c>
      <c r="X190" s="322">
        <v>0.59</v>
      </c>
      <c r="Y190" s="238" t="s">
        <v>856</v>
      </c>
      <c r="Z190" s="308" t="s">
        <v>821</v>
      </c>
      <c r="AA190" s="323" t="s">
        <v>857</v>
      </c>
    </row>
    <row r="191">
      <c r="A191" s="111">
        <v>228.0</v>
      </c>
      <c r="B191" s="291" t="s">
        <v>140</v>
      </c>
      <c r="C191" s="292" t="s">
        <v>207</v>
      </c>
      <c r="D191" s="232"/>
      <c r="E191" s="252" t="s">
        <v>208</v>
      </c>
      <c r="F191" s="293" t="s">
        <v>220</v>
      </c>
      <c r="G191" s="115" t="s">
        <v>251</v>
      </c>
      <c r="H191" s="294">
        <v>2022.0</v>
      </c>
      <c r="I191" s="295">
        <v>2023.0</v>
      </c>
      <c r="J191" s="296" t="s">
        <v>858</v>
      </c>
      <c r="K191" s="297">
        <v>0.5</v>
      </c>
      <c r="L191" s="298" t="s">
        <v>693</v>
      </c>
      <c r="M191" s="299">
        <v>2022.0</v>
      </c>
      <c r="N191" s="300" t="s">
        <v>842</v>
      </c>
      <c r="O191" s="301" t="s">
        <v>828</v>
      </c>
      <c r="P191" s="302"/>
      <c r="Q191" s="303"/>
      <c r="R191" s="303"/>
      <c r="S191" s="303"/>
      <c r="T191" s="303"/>
      <c r="U191" s="304"/>
      <c r="V191" s="320">
        <v>2023.0</v>
      </c>
      <c r="W191" s="321" t="s">
        <v>859</v>
      </c>
      <c r="X191" s="322">
        <v>0.5</v>
      </c>
      <c r="Y191" s="238" t="s">
        <v>860</v>
      </c>
      <c r="Z191" s="308" t="s">
        <v>821</v>
      </c>
      <c r="AA191" s="323" t="s">
        <v>861</v>
      </c>
    </row>
    <row r="192">
      <c r="A192" s="111">
        <v>230.0</v>
      </c>
      <c r="B192" s="291" t="s">
        <v>140</v>
      </c>
      <c r="C192" s="292" t="s">
        <v>219</v>
      </c>
      <c r="D192" s="232"/>
      <c r="E192" s="252" t="s">
        <v>383</v>
      </c>
      <c r="F192" s="293" t="s">
        <v>683</v>
      </c>
      <c r="G192" s="271"/>
      <c r="H192" s="294">
        <v>2022.0</v>
      </c>
      <c r="I192" s="295">
        <v>2023.0</v>
      </c>
      <c r="J192" s="296" t="s">
        <v>862</v>
      </c>
      <c r="K192" s="297">
        <v>1.0</v>
      </c>
      <c r="L192" s="298" t="s">
        <v>693</v>
      </c>
      <c r="M192" s="299">
        <v>2022.0</v>
      </c>
      <c r="N192" s="300" t="s">
        <v>842</v>
      </c>
      <c r="O192" s="301" t="s">
        <v>843</v>
      </c>
      <c r="P192" s="302"/>
      <c r="Q192" s="303"/>
      <c r="R192" s="303"/>
      <c r="S192" s="303"/>
      <c r="T192" s="303"/>
      <c r="U192" s="304"/>
      <c r="V192" s="320">
        <v>2023.0</v>
      </c>
      <c r="W192" s="321" t="s">
        <v>863</v>
      </c>
      <c r="X192" s="322">
        <v>0.99</v>
      </c>
      <c r="Y192" s="238" t="s">
        <v>864</v>
      </c>
      <c r="Z192" s="279" t="s">
        <v>821</v>
      </c>
      <c r="AA192" s="323" t="s">
        <v>834</v>
      </c>
    </row>
    <row r="193">
      <c r="A193" s="111">
        <v>231.0</v>
      </c>
      <c r="B193" s="280" t="s">
        <v>140</v>
      </c>
      <c r="C193" s="281" t="s">
        <v>343</v>
      </c>
      <c r="D193" s="232"/>
      <c r="E193" s="313" t="s">
        <v>208</v>
      </c>
      <c r="F193" s="282" t="s">
        <v>220</v>
      </c>
      <c r="G193" s="161" t="s">
        <v>251</v>
      </c>
      <c r="H193" s="283">
        <v>2023.0</v>
      </c>
      <c r="I193" s="284">
        <v>2025.0</v>
      </c>
      <c r="J193" s="285" t="s">
        <v>865</v>
      </c>
      <c r="K193" s="315">
        <v>1.0</v>
      </c>
      <c r="L193" s="286" t="s">
        <v>693</v>
      </c>
      <c r="M193" s="287">
        <v>2023.0</v>
      </c>
      <c r="N193" s="288" t="s">
        <v>833</v>
      </c>
      <c r="O193" s="220" t="s">
        <v>861</v>
      </c>
      <c r="P193" s="289"/>
      <c r="Q193" s="275"/>
      <c r="R193" s="275"/>
      <c r="S193" s="275"/>
      <c r="T193" s="275"/>
      <c r="U193" s="290"/>
      <c r="V193" s="273"/>
      <c r="W193" s="274"/>
      <c r="X193" s="274"/>
      <c r="Y193" s="242"/>
      <c r="Z193" s="316"/>
      <c r="AA193" s="317"/>
    </row>
    <row r="194">
      <c r="A194" s="111">
        <v>232.0</v>
      </c>
      <c r="B194" s="291" t="s">
        <v>140</v>
      </c>
      <c r="C194" s="292" t="s">
        <v>343</v>
      </c>
      <c r="D194" s="232"/>
      <c r="E194" s="252" t="s">
        <v>231</v>
      </c>
      <c r="F194" s="293" t="s">
        <v>461</v>
      </c>
      <c r="G194" s="271"/>
      <c r="H194" s="294">
        <v>2023.0</v>
      </c>
      <c r="I194" s="295">
        <v>2030.0</v>
      </c>
      <c r="J194" s="296" t="s">
        <v>866</v>
      </c>
      <c r="K194" s="297">
        <v>1.0</v>
      </c>
      <c r="L194" s="298" t="s">
        <v>693</v>
      </c>
      <c r="M194" s="299">
        <v>2023.0</v>
      </c>
      <c r="N194" s="300" t="s">
        <v>833</v>
      </c>
      <c r="O194" s="301" t="s">
        <v>867</v>
      </c>
      <c r="P194" s="302"/>
      <c r="Q194" s="303"/>
      <c r="R194" s="303"/>
      <c r="S194" s="303"/>
      <c r="T194" s="303"/>
      <c r="U194" s="304"/>
      <c r="V194" s="305"/>
      <c r="W194" s="306"/>
      <c r="X194" s="306"/>
      <c r="Y194" s="242"/>
      <c r="Z194" s="311"/>
      <c r="AA194" s="312"/>
    </row>
    <row r="195">
      <c r="A195" s="111">
        <v>233.0</v>
      </c>
      <c r="B195" s="280" t="s">
        <v>140</v>
      </c>
      <c r="C195" s="281" t="s">
        <v>343</v>
      </c>
      <c r="D195" s="232"/>
      <c r="E195" s="313" t="s">
        <v>383</v>
      </c>
      <c r="F195" s="282" t="s">
        <v>420</v>
      </c>
      <c r="G195" s="324"/>
      <c r="H195" s="283">
        <v>2023.0</v>
      </c>
      <c r="I195" s="284">
        <v>2030.0</v>
      </c>
      <c r="J195" s="285" t="s">
        <v>868</v>
      </c>
      <c r="K195" s="286">
        <v>54.0</v>
      </c>
      <c r="L195" s="286" t="s">
        <v>869</v>
      </c>
      <c r="M195" s="287">
        <v>2023.0</v>
      </c>
      <c r="N195" s="288" t="s">
        <v>833</v>
      </c>
      <c r="O195" s="220" t="s">
        <v>867</v>
      </c>
      <c r="P195" s="289"/>
      <c r="Q195" s="275"/>
      <c r="R195" s="275"/>
      <c r="S195" s="275"/>
      <c r="T195" s="275"/>
      <c r="U195" s="290"/>
      <c r="V195" s="273"/>
      <c r="W195" s="274"/>
      <c r="X195" s="274"/>
      <c r="Y195" s="242"/>
      <c r="Z195" s="316"/>
      <c r="AA195" s="317"/>
    </row>
    <row r="196">
      <c r="A196" s="111">
        <v>236.0</v>
      </c>
      <c r="B196" s="291" t="s">
        <v>140</v>
      </c>
      <c r="C196" s="292" t="s">
        <v>343</v>
      </c>
      <c r="D196" s="232"/>
      <c r="E196" s="252" t="s">
        <v>383</v>
      </c>
      <c r="F196" s="293" t="s">
        <v>387</v>
      </c>
      <c r="G196" s="271"/>
      <c r="H196" s="294">
        <v>2024.0</v>
      </c>
      <c r="I196" s="295">
        <v>2026.0</v>
      </c>
      <c r="J196" s="296" t="s">
        <v>870</v>
      </c>
      <c r="K196" s="298">
        <v>3.0</v>
      </c>
      <c r="L196" s="298" t="s">
        <v>869</v>
      </c>
      <c r="M196" s="299">
        <v>2024.0</v>
      </c>
      <c r="N196" s="300" t="s">
        <v>871</v>
      </c>
      <c r="O196" s="301" t="s">
        <v>809</v>
      </c>
      <c r="P196" s="302"/>
      <c r="Q196" s="303"/>
      <c r="R196" s="303"/>
      <c r="S196" s="303"/>
      <c r="T196" s="303"/>
      <c r="U196" s="304"/>
      <c r="V196" s="305"/>
      <c r="W196" s="306"/>
      <c r="X196" s="306"/>
      <c r="Y196" s="242"/>
      <c r="Z196" s="311"/>
      <c r="AA196" s="312"/>
    </row>
    <row r="197">
      <c r="A197" s="111">
        <v>237.0</v>
      </c>
      <c r="B197" s="280" t="s">
        <v>140</v>
      </c>
      <c r="C197" s="281" t="s">
        <v>343</v>
      </c>
      <c r="D197" s="232"/>
      <c r="E197" s="252" t="s">
        <v>383</v>
      </c>
      <c r="F197" s="282" t="s">
        <v>387</v>
      </c>
      <c r="G197" s="271"/>
      <c r="H197" s="283">
        <v>2024.0</v>
      </c>
      <c r="I197" s="284">
        <v>2026.0</v>
      </c>
      <c r="J197" s="285" t="s">
        <v>872</v>
      </c>
      <c r="K197" s="286">
        <v>2.0</v>
      </c>
      <c r="L197" s="286" t="s">
        <v>869</v>
      </c>
      <c r="M197" s="287">
        <v>2024.0</v>
      </c>
      <c r="N197" s="288" t="s">
        <v>871</v>
      </c>
      <c r="O197" s="220" t="s">
        <v>809</v>
      </c>
      <c r="P197" s="289"/>
      <c r="Q197" s="275"/>
      <c r="R197" s="275"/>
      <c r="S197" s="275"/>
      <c r="T197" s="275"/>
      <c r="U197" s="290"/>
      <c r="V197" s="273"/>
      <c r="W197" s="274"/>
      <c r="X197" s="274"/>
      <c r="Y197" s="242"/>
      <c r="Z197" s="316"/>
      <c r="AA197" s="317"/>
    </row>
    <row r="198">
      <c r="A198" s="111">
        <v>238.0</v>
      </c>
      <c r="B198" s="291" t="s">
        <v>140</v>
      </c>
      <c r="C198" s="292" t="s">
        <v>343</v>
      </c>
      <c r="D198" s="232"/>
      <c r="E198" s="252" t="s">
        <v>383</v>
      </c>
      <c r="F198" s="293" t="s">
        <v>220</v>
      </c>
      <c r="G198" s="325"/>
      <c r="H198" s="294">
        <v>2024.0</v>
      </c>
      <c r="I198" s="295">
        <v>2030.0</v>
      </c>
      <c r="J198" s="296" t="s">
        <v>873</v>
      </c>
      <c r="K198" s="298" t="s">
        <v>874</v>
      </c>
      <c r="L198" s="298" t="s">
        <v>874</v>
      </c>
      <c r="M198" s="299">
        <v>2024.0</v>
      </c>
      <c r="N198" s="300" t="s">
        <v>871</v>
      </c>
      <c r="O198" s="301" t="s">
        <v>809</v>
      </c>
      <c r="P198" s="302"/>
      <c r="Q198" s="303"/>
      <c r="R198" s="303"/>
      <c r="S198" s="303"/>
      <c r="T198" s="303"/>
      <c r="U198" s="304"/>
      <c r="V198" s="305"/>
      <c r="W198" s="306"/>
      <c r="X198" s="306"/>
      <c r="Y198" s="242"/>
      <c r="Z198" s="311"/>
      <c r="AA198" s="312"/>
    </row>
    <row r="199">
      <c r="A199" s="111">
        <v>239.0</v>
      </c>
      <c r="B199" s="172" t="s">
        <v>144</v>
      </c>
      <c r="C199" s="62" t="s">
        <v>207</v>
      </c>
      <c r="D199" s="115"/>
      <c r="E199" s="62" t="s">
        <v>208</v>
      </c>
      <c r="F199" s="62" t="s">
        <v>209</v>
      </c>
      <c r="G199" s="134"/>
      <c r="H199" s="115">
        <v>2012.0</v>
      </c>
      <c r="I199" s="115">
        <v>2020.0</v>
      </c>
      <c r="J199" s="221" t="s">
        <v>875</v>
      </c>
      <c r="K199" s="115">
        <v>0.0</v>
      </c>
      <c r="L199" s="115"/>
      <c r="M199" s="128">
        <v>2013.0</v>
      </c>
      <c r="N199" s="178" t="s">
        <v>876</v>
      </c>
      <c r="O199" s="115"/>
      <c r="P199" s="132"/>
      <c r="Q199" s="115"/>
      <c r="R199" s="115"/>
      <c r="S199" s="115"/>
      <c r="T199" s="124"/>
      <c r="U199" s="115"/>
      <c r="V199" s="132">
        <v>2020.0</v>
      </c>
      <c r="W199" s="115" t="s">
        <v>877</v>
      </c>
      <c r="X199" s="133"/>
      <c r="Y199" s="115"/>
      <c r="Z199" s="136" t="s">
        <v>878</v>
      </c>
      <c r="AA199" s="326"/>
    </row>
    <row r="200">
      <c r="A200" s="111">
        <v>240.0</v>
      </c>
      <c r="B200" s="159" t="s">
        <v>144</v>
      </c>
      <c r="C200" s="160" t="s">
        <v>274</v>
      </c>
      <c r="D200" s="115" t="s">
        <v>879</v>
      </c>
      <c r="E200" s="160" t="s">
        <v>231</v>
      </c>
      <c r="F200" s="160" t="s">
        <v>263</v>
      </c>
      <c r="G200" s="161" t="s">
        <v>280</v>
      </c>
      <c r="H200" s="161">
        <v>2012.0</v>
      </c>
      <c r="I200" s="161">
        <v>2020.0</v>
      </c>
      <c r="J200" s="327" t="s">
        <v>880</v>
      </c>
      <c r="K200" s="162">
        <v>0.2</v>
      </c>
      <c r="L200" s="161" t="s">
        <v>881</v>
      </c>
      <c r="M200" s="163">
        <v>2012.0</v>
      </c>
      <c r="N200" s="141" t="s">
        <v>882</v>
      </c>
      <c r="O200" s="165"/>
      <c r="P200" s="166">
        <v>2012.0</v>
      </c>
      <c r="Q200" s="161"/>
      <c r="R200" s="161"/>
      <c r="S200" s="161" t="s">
        <v>263</v>
      </c>
      <c r="T200" s="168"/>
      <c r="U200" s="165"/>
      <c r="V200" s="166">
        <v>2020.0</v>
      </c>
      <c r="W200" s="161" t="s">
        <v>883</v>
      </c>
      <c r="X200" s="170"/>
      <c r="Y200" s="115" t="s">
        <v>884</v>
      </c>
      <c r="Z200" s="168" t="s">
        <v>296</v>
      </c>
      <c r="AA200" s="328" t="s">
        <v>885</v>
      </c>
    </row>
    <row r="201">
      <c r="A201" s="111">
        <v>241.0</v>
      </c>
      <c r="B201" s="172" t="s">
        <v>144</v>
      </c>
      <c r="C201" s="173" t="s">
        <v>207</v>
      </c>
      <c r="D201" s="115"/>
      <c r="E201" s="62" t="s">
        <v>231</v>
      </c>
      <c r="F201" s="173" t="s">
        <v>258</v>
      </c>
      <c r="G201" s="134"/>
      <c r="H201" s="174">
        <v>2013.0</v>
      </c>
      <c r="I201" s="174">
        <v>2020.0</v>
      </c>
      <c r="J201" s="329" t="s">
        <v>886</v>
      </c>
      <c r="K201" s="175">
        <v>1.0</v>
      </c>
      <c r="L201" s="174" t="s">
        <v>887</v>
      </c>
      <c r="M201" s="330">
        <v>2013.0</v>
      </c>
      <c r="N201" s="178" t="s">
        <v>876</v>
      </c>
      <c r="O201" s="331"/>
      <c r="P201" s="176"/>
      <c r="Q201" s="174"/>
      <c r="R201" s="174"/>
      <c r="S201" s="174"/>
      <c r="T201" s="178"/>
      <c r="U201" s="331"/>
      <c r="V201" s="176">
        <v>2020.0</v>
      </c>
      <c r="W201" s="174" t="s">
        <v>888</v>
      </c>
      <c r="X201" s="332">
        <v>1.0</v>
      </c>
      <c r="Y201" s="115" t="s">
        <v>887</v>
      </c>
      <c r="Z201" s="178" t="s">
        <v>889</v>
      </c>
      <c r="AA201" s="182"/>
    </row>
    <row r="202">
      <c r="A202" s="111">
        <v>242.0</v>
      </c>
      <c r="B202" s="159" t="s">
        <v>144</v>
      </c>
      <c r="C202" s="160" t="s">
        <v>274</v>
      </c>
      <c r="D202" s="115" t="s">
        <v>890</v>
      </c>
      <c r="E202" s="62" t="s">
        <v>208</v>
      </c>
      <c r="F202" s="160" t="s">
        <v>420</v>
      </c>
      <c r="G202" s="134"/>
      <c r="H202" s="161">
        <v>2014.0</v>
      </c>
      <c r="I202" s="161">
        <v>2020.0</v>
      </c>
      <c r="J202" s="327" t="s">
        <v>891</v>
      </c>
      <c r="K202" s="162">
        <v>1.0</v>
      </c>
      <c r="L202" s="161" t="s">
        <v>892</v>
      </c>
      <c r="M202" s="163">
        <v>2014.0</v>
      </c>
      <c r="N202" s="168" t="s">
        <v>893</v>
      </c>
      <c r="O202" s="165" t="s">
        <v>894</v>
      </c>
      <c r="P202" s="166"/>
      <c r="Q202" s="161"/>
      <c r="R202" s="161"/>
      <c r="S202" s="161"/>
      <c r="T202" s="168"/>
      <c r="U202" s="165"/>
      <c r="V202" s="166"/>
      <c r="W202" s="161"/>
      <c r="X202" s="170"/>
      <c r="Y202" s="115"/>
      <c r="Z202" s="168"/>
      <c r="AA202" s="333"/>
    </row>
    <row r="203">
      <c r="A203" s="111">
        <v>243.0</v>
      </c>
      <c r="B203" s="172" t="s">
        <v>144</v>
      </c>
      <c r="C203" s="173" t="s">
        <v>207</v>
      </c>
      <c r="D203" s="115"/>
      <c r="E203" s="62" t="s">
        <v>231</v>
      </c>
      <c r="F203" s="173" t="s">
        <v>244</v>
      </c>
      <c r="G203" s="134"/>
      <c r="H203" s="174">
        <v>2017.0</v>
      </c>
      <c r="I203" s="174">
        <v>2020.0</v>
      </c>
      <c r="J203" s="329" t="s">
        <v>895</v>
      </c>
      <c r="K203" s="334">
        <v>45780.0</v>
      </c>
      <c r="L203" s="174" t="s">
        <v>896</v>
      </c>
      <c r="M203" s="330">
        <v>2017.0</v>
      </c>
      <c r="N203" s="178" t="s">
        <v>897</v>
      </c>
      <c r="O203" s="331"/>
      <c r="P203" s="176"/>
      <c r="Q203" s="174"/>
      <c r="R203" s="174"/>
      <c r="S203" s="174"/>
      <c r="T203" s="178"/>
      <c r="U203" s="331"/>
      <c r="V203" s="176">
        <v>2019.0</v>
      </c>
      <c r="W203" s="174" t="s">
        <v>898</v>
      </c>
      <c r="X203" s="180" t="s">
        <v>899</v>
      </c>
      <c r="Y203" s="115" t="s">
        <v>896</v>
      </c>
      <c r="Z203" s="168" t="s">
        <v>900</v>
      </c>
      <c r="AA203" s="182" t="s">
        <v>901</v>
      </c>
    </row>
    <row r="204">
      <c r="A204" s="111">
        <v>244.0</v>
      </c>
      <c r="B204" s="159" t="s">
        <v>144</v>
      </c>
      <c r="C204" s="160" t="s">
        <v>207</v>
      </c>
      <c r="D204" s="115"/>
      <c r="E204" s="62" t="s">
        <v>208</v>
      </c>
      <c r="F204" s="160" t="s">
        <v>258</v>
      </c>
      <c r="G204" s="115" t="s">
        <v>494</v>
      </c>
      <c r="H204" s="161">
        <v>2017.0</v>
      </c>
      <c r="I204" s="161">
        <v>2025.0</v>
      </c>
      <c r="J204" s="327" t="s">
        <v>902</v>
      </c>
      <c r="K204" s="162">
        <v>0.8</v>
      </c>
      <c r="L204" s="161" t="s">
        <v>903</v>
      </c>
      <c r="M204" s="163">
        <v>2017.0</v>
      </c>
      <c r="N204" s="168" t="s">
        <v>897</v>
      </c>
      <c r="O204" s="165"/>
      <c r="P204" s="166"/>
      <c r="Q204" s="161"/>
      <c r="R204" s="161"/>
      <c r="S204" s="161"/>
      <c r="T204" s="168"/>
      <c r="U204" s="165"/>
      <c r="V204" s="166">
        <v>2020.0</v>
      </c>
      <c r="W204" s="161" t="s">
        <v>904</v>
      </c>
      <c r="X204" s="170">
        <v>0.8</v>
      </c>
      <c r="Y204" s="115" t="s">
        <v>903</v>
      </c>
      <c r="Z204" s="168" t="s">
        <v>296</v>
      </c>
      <c r="AA204" s="333" t="s">
        <v>905</v>
      </c>
    </row>
    <row r="205">
      <c r="A205" s="111">
        <v>245.0</v>
      </c>
      <c r="B205" s="172" t="s">
        <v>193</v>
      </c>
      <c r="C205" s="173" t="s">
        <v>219</v>
      </c>
      <c r="D205" s="115"/>
      <c r="E205" s="62" t="s">
        <v>231</v>
      </c>
      <c r="F205" s="173" t="s">
        <v>263</v>
      </c>
      <c r="G205" s="115" t="s">
        <v>280</v>
      </c>
      <c r="H205" s="174">
        <v>2017.0</v>
      </c>
      <c r="I205" s="174">
        <v>2019.0</v>
      </c>
      <c r="J205" s="174" t="s">
        <v>906</v>
      </c>
      <c r="K205" s="175">
        <v>0.1</v>
      </c>
      <c r="L205" s="174" t="s">
        <v>907</v>
      </c>
      <c r="M205" s="335">
        <v>2017.0</v>
      </c>
      <c r="N205" s="174" t="s">
        <v>908</v>
      </c>
      <c r="O205" s="331" t="s">
        <v>498</v>
      </c>
      <c r="P205" s="336"/>
      <c r="Q205" s="177"/>
      <c r="R205" s="177"/>
      <c r="S205" s="177"/>
      <c r="T205" s="177"/>
      <c r="U205" s="179"/>
      <c r="V205" s="176">
        <v>2019.0</v>
      </c>
      <c r="W205" s="115" t="s">
        <v>909</v>
      </c>
      <c r="X205" s="174" t="s">
        <v>910</v>
      </c>
      <c r="Y205" s="155"/>
      <c r="Z205" s="161" t="s">
        <v>900</v>
      </c>
      <c r="AA205" s="182" t="s">
        <v>498</v>
      </c>
    </row>
    <row r="206">
      <c r="A206" s="111">
        <v>246.0</v>
      </c>
      <c r="B206" s="115" t="s">
        <v>193</v>
      </c>
      <c r="C206" s="62" t="s">
        <v>207</v>
      </c>
      <c r="D206" s="115"/>
      <c r="E206" s="62" t="s">
        <v>208</v>
      </c>
      <c r="F206" s="62" t="s">
        <v>387</v>
      </c>
      <c r="G206" s="134"/>
      <c r="H206" s="115">
        <v>2017.0</v>
      </c>
      <c r="I206" s="115">
        <v>2018.0</v>
      </c>
      <c r="J206" s="115" t="s">
        <v>911</v>
      </c>
      <c r="K206" s="137">
        <v>0.25</v>
      </c>
      <c r="L206" s="115" t="s">
        <v>911</v>
      </c>
      <c r="M206" s="139">
        <v>2017.0</v>
      </c>
      <c r="N206" s="115" t="s">
        <v>908</v>
      </c>
      <c r="O206" s="115" t="s">
        <v>637</v>
      </c>
      <c r="P206" s="337"/>
      <c r="Q206" s="155"/>
      <c r="R206" s="155"/>
      <c r="S206" s="155"/>
      <c r="T206" s="155"/>
      <c r="U206" s="155"/>
      <c r="V206" s="132">
        <v>2018.0</v>
      </c>
      <c r="W206" s="115" t="s">
        <v>911</v>
      </c>
      <c r="X206" s="137">
        <v>0.25</v>
      </c>
      <c r="Y206" s="115" t="s">
        <v>911</v>
      </c>
      <c r="Z206" s="115" t="s">
        <v>912</v>
      </c>
      <c r="AA206" s="115" t="s">
        <v>913</v>
      </c>
    </row>
    <row r="207">
      <c r="A207" s="111">
        <v>247.0</v>
      </c>
      <c r="B207" s="115" t="s">
        <v>193</v>
      </c>
      <c r="C207" s="62" t="s">
        <v>207</v>
      </c>
      <c r="D207" s="115" t="s">
        <v>914</v>
      </c>
      <c r="E207" s="62" t="s">
        <v>208</v>
      </c>
      <c r="F207" s="62" t="s">
        <v>263</v>
      </c>
      <c r="G207" s="115" t="s">
        <v>264</v>
      </c>
      <c r="H207" s="115">
        <v>2017.0</v>
      </c>
      <c r="I207" s="115">
        <v>2020.0</v>
      </c>
      <c r="J207" s="115" t="s">
        <v>915</v>
      </c>
      <c r="K207" s="137">
        <v>0.1</v>
      </c>
      <c r="L207" s="115" t="s">
        <v>916</v>
      </c>
      <c r="M207" s="139">
        <v>2017.0</v>
      </c>
      <c r="N207" s="115" t="s">
        <v>908</v>
      </c>
      <c r="O207" s="115" t="s">
        <v>917</v>
      </c>
      <c r="P207" s="132">
        <v>2017.0</v>
      </c>
      <c r="Q207" s="115" t="s">
        <v>918</v>
      </c>
      <c r="R207" s="115">
        <v>2.54</v>
      </c>
      <c r="S207" s="115" t="s">
        <v>919</v>
      </c>
      <c r="T207" s="115" t="s">
        <v>908</v>
      </c>
      <c r="U207" s="115" t="s">
        <v>920</v>
      </c>
      <c r="V207" s="132">
        <v>2019.0</v>
      </c>
      <c r="W207" s="155"/>
      <c r="X207" s="115">
        <v>1.81</v>
      </c>
      <c r="Y207" s="115" t="s">
        <v>921</v>
      </c>
      <c r="Z207" s="115" t="s">
        <v>922</v>
      </c>
      <c r="AA207" s="115" t="s">
        <v>923</v>
      </c>
    </row>
    <row r="208">
      <c r="A208" s="111">
        <v>248.0</v>
      </c>
      <c r="B208" s="115" t="s">
        <v>193</v>
      </c>
      <c r="C208" s="62" t="s">
        <v>219</v>
      </c>
      <c r="D208" s="115" t="s">
        <v>924</v>
      </c>
      <c r="E208" s="62" t="s">
        <v>208</v>
      </c>
      <c r="F208" s="62" t="s">
        <v>220</v>
      </c>
      <c r="G208" s="134"/>
      <c r="H208" s="115">
        <v>2017.0</v>
      </c>
      <c r="I208" s="115">
        <v>2020.0</v>
      </c>
      <c r="J208" s="115" t="s">
        <v>925</v>
      </c>
      <c r="K208" s="137">
        <v>1.0</v>
      </c>
      <c r="L208" s="115" t="s">
        <v>926</v>
      </c>
      <c r="M208" s="139">
        <v>2017.0</v>
      </c>
      <c r="N208" s="115" t="s">
        <v>908</v>
      </c>
      <c r="O208" s="115" t="s">
        <v>501</v>
      </c>
      <c r="P208" s="132"/>
      <c r="Q208" s="155"/>
      <c r="R208" s="155"/>
      <c r="S208" s="155"/>
      <c r="T208" s="155"/>
      <c r="U208" s="155"/>
      <c r="V208" s="243">
        <v>2019.0</v>
      </c>
      <c r="W208" s="242"/>
      <c r="X208" s="256">
        <v>0.91</v>
      </c>
      <c r="Y208" s="130" t="s">
        <v>927</v>
      </c>
      <c r="Z208" s="115" t="s">
        <v>928</v>
      </c>
      <c r="AA208" s="115" t="s">
        <v>929</v>
      </c>
    </row>
    <row r="209">
      <c r="A209" s="111">
        <v>249.0</v>
      </c>
      <c r="B209" s="115" t="s">
        <v>193</v>
      </c>
      <c r="C209" s="62" t="s">
        <v>219</v>
      </c>
      <c r="D209" s="115"/>
      <c r="E209" s="62" t="s">
        <v>231</v>
      </c>
      <c r="F209" s="62" t="s">
        <v>220</v>
      </c>
      <c r="G209" s="134"/>
      <c r="H209" s="115">
        <v>2019.0</v>
      </c>
      <c r="I209" s="115">
        <v>2023.0</v>
      </c>
      <c r="J209" s="115" t="s">
        <v>930</v>
      </c>
      <c r="K209" s="137">
        <v>0.25</v>
      </c>
      <c r="L209" s="115" t="s">
        <v>931</v>
      </c>
      <c r="M209" s="139">
        <v>2020.0</v>
      </c>
      <c r="N209" s="115" t="s">
        <v>928</v>
      </c>
      <c r="O209" s="115" t="s">
        <v>932</v>
      </c>
      <c r="P209" s="132"/>
      <c r="Q209" s="155"/>
      <c r="R209" s="155"/>
      <c r="S209" s="155"/>
      <c r="T209" s="155"/>
      <c r="U209" s="155"/>
      <c r="V209" s="132">
        <v>2023.0</v>
      </c>
      <c r="W209" s="155"/>
      <c r="X209" s="224">
        <v>0.105</v>
      </c>
      <c r="Y209" s="115" t="s">
        <v>933</v>
      </c>
      <c r="Z209" s="115" t="s">
        <v>934</v>
      </c>
      <c r="AA209" s="115" t="s">
        <v>935</v>
      </c>
    </row>
    <row r="210">
      <c r="A210" s="111">
        <v>250.0</v>
      </c>
      <c r="B210" s="115" t="s">
        <v>193</v>
      </c>
      <c r="C210" s="62" t="s">
        <v>207</v>
      </c>
      <c r="D210" s="115"/>
      <c r="E210" s="62" t="s">
        <v>231</v>
      </c>
      <c r="F210" s="62" t="s">
        <v>220</v>
      </c>
      <c r="G210" s="134"/>
      <c r="H210" s="115">
        <v>2017.0</v>
      </c>
      <c r="I210" s="115">
        <v>2020.0</v>
      </c>
      <c r="J210" s="115" t="s">
        <v>936</v>
      </c>
      <c r="K210" s="137"/>
      <c r="L210" s="115"/>
      <c r="M210" s="139">
        <v>2017.0</v>
      </c>
      <c r="N210" s="115" t="s">
        <v>908</v>
      </c>
      <c r="O210" s="115" t="s">
        <v>498</v>
      </c>
      <c r="P210" s="132"/>
      <c r="Q210" s="155"/>
      <c r="R210" s="155"/>
      <c r="S210" s="155"/>
      <c r="T210" s="155"/>
      <c r="U210" s="155"/>
      <c r="V210" s="132">
        <v>2020.0</v>
      </c>
      <c r="W210" s="155"/>
      <c r="X210" s="155"/>
      <c r="Y210" s="155"/>
      <c r="Z210" s="115" t="s">
        <v>928</v>
      </c>
      <c r="AA210" s="115" t="s">
        <v>937</v>
      </c>
    </row>
    <row r="211">
      <c r="A211" s="111">
        <v>251.0</v>
      </c>
      <c r="B211" s="115" t="s">
        <v>193</v>
      </c>
      <c r="C211" s="62" t="s">
        <v>207</v>
      </c>
      <c r="D211" s="115"/>
      <c r="E211" s="62" t="s">
        <v>208</v>
      </c>
      <c r="F211" s="62" t="s">
        <v>220</v>
      </c>
      <c r="G211" s="115" t="s">
        <v>251</v>
      </c>
      <c r="H211" s="115">
        <v>2019.0</v>
      </c>
      <c r="I211" s="115">
        <v>2020.0</v>
      </c>
      <c r="J211" s="115" t="s">
        <v>938</v>
      </c>
      <c r="K211" s="137">
        <v>0.5</v>
      </c>
      <c r="L211" s="115" t="s">
        <v>939</v>
      </c>
      <c r="M211" s="139">
        <v>2019.0</v>
      </c>
      <c r="N211" s="115" t="s">
        <v>900</v>
      </c>
      <c r="O211" s="115" t="s">
        <v>940</v>
      </c>
      <c r="P211" s="132"/>
      <c r="Q211" s="155"/>
      <c r="R211" s="155"/>
      <c r="S211" s="155"/>
      <c r="T211" s="155"/>
      <c r="U211" s="155"/>
      <c r="V211" s="132">
        <v>2020.0</v>
      </c>
      <c r="W211" s="155"/>
      <c r="X211" s="224">
        <v>0.542</v>
      </c>
      <c r="Y211" s="115" t="s">
        <v>941</v>
      </c>
      <c r="Z211" s="115" t="s">
        <v>928</v>
      </c>
      <c r="AA211" s="115" t="s">
        <v>942</v>
      </c>
    </row>
    <row r="212">
      <c r="A212" s="111">
        <v>253.0</v>
      </c>
      <c r="B212" s="115" t="s">
        <v>193</v>
      </c>
      <c r="C212" s="62" t="s">
        <v>343</v>
      </c>
      <c r="D212" s="115"/>
      <c r="E212" s="62" t="s">
        <v>208</v>
      </c>
      <c r="F212" s="62" t="s">
        <v>263</v>
      </c>
      <c r="G212" s="115" t="s">
        <v>280</v>
      </c>
      <c r="H212" s="115">
        <v>2020.0</v>
      </c>
      <c r="I212" s="115">
        <v>2025.0</v>
      </c>
      <c r="J212" s="115" t="s">
        <v>943</v>
      </c>
      <c r="K212" s="137">
        <v>-0.8</v>
      </c>
      <c r="L212" s="115" t="s">
        <v>944</v>
      </c>
      <c r="M212" s="139">
        <v>2020.0</v>
      </c>
      <c r="N212" s="115" t="s">
        <v>928</v>
      </c>
      <c r="O212" s="115" t="s">
        <v>701</v>
      </c>
      <c r="P212" s="132">
        <v>2017.0</v>
      </c>
      <c r="Q212" s="115" t="s">
        <v>945</v>
      </c>
      <c r="R212" s="115">
        <v>26136.0</v>
      </c>
      <c r="S212" s="115" t="s">
        <v>946</v>
      </c>
      <c r="T212" s="115" t="s">
        <v>928</v>
      </c>
      <c r="U212" s="115" t="s">
        <v>947</v>
      </c>
      <c r="V212" s="132">
        <v>2025.0</v>
      </c>
      <c r="W212" s="155"/>
      <c r="X212" s="155"/>
      <c r="Y212" s="155"/>
      <c r="Z212" s="115"/>
      <c r="AA212" s="115"/>
    </row>
    <row r="213">
      <c r="A213" s="111">
        <v>254.0</v>
      </c>
      <c r="B213" s="115" t="s">
        <v>193</v>
      </c>
      <c r="C213" s="62" t="s">
        <v>219</v>
      </c>
      <c r="D213" s="115"/>
      <c r="E213" s="62" t="s">
        <v>231</v>
      </c>
      <c r="F213" s="62" t="s">
        <v>244</v>
      </c>
      <c r="G213" s="134"/>
      <c r="H213" s="115">
        <v>2020.0</v>
      </c>
      <c r="I213" s="115">
        <v>2023.0</v>
      </c>
      <c r="J213" s="115" t="s">
        <v>948</v>
      </c>
      <c r="K213" s="137"/>
      <c r="L213" s="115"/>
      <c r="M213" s="139">
        <v>2020.0</v>
      </c>
      <c r="N213" s="115" t="s">
        <v>928</v>
      </c>
      <c r="O213" s="115"/>
      <c r="P213" s="132"/>
      <c r="Q213" s="155"/>
      <c r="R213" s="155"/>
      <c r="S213" s="155"/>
      <c r="T213" s="155"/>
      <c r="U213" s="155"/>
      <c r="V213" s="132">
        <v>2023.0</v>
      </c>
      <c r="W213" s="115" t="s">
        <v>949</v>
      </c>
      <c r="X213" s="115">
        <v>7.4</v>
      </c>
      <c r="Y213" s="115" t="s">
        <v>950</v>
      </c>
      <c r="Z213" s="115" t="s">
        <v>934</v>
      </c>
      <c r="AA213" s="115" t="s">
        <v>951</v>
      </c>
    </row>
    <row r="214">
      <c r="A214" s="111">
        <v>255.0</v>
      </c>
      <c r="B214" s="115" t="s">
        <v>193</v>
      </c>
      <c r="C214" s="62" t="s">
        <v>343</v>
      </c>
      <c r="D214" s="115"/>
      <c r="E214" s="62" t="s">
        <v>208</v>
      </c>
      <c r="F214" s="62" t="s">
        <v>258</v>
      </c>
      <c r="G214" s="115" t="s">
        <v>494</v>
      </c>
      <c r="H214" s="115">
        <v>2020.0</v>
      </c>
      <c r="I214" s="115">
        <v>2025.0</v>
      </c>
      <c r="J214" s="115" t="s">
        <v>952</v>
      </c>
      <c r="K214" s="137">
        <v>1.0</v>
      </c>
      <c r="L214" s="115" t="s">
        <v>953</v>
      </c>
      <c r="M214" s="139">
        <v>2020.0</v>
      </c>
      <c r="N214" s="115" t="s">
        <v>928</v>
      </c>
      <c r="O214" s="115" t="s">
        <v>954</v>
      </c>
      <c r="P214" s="132"/>
      <c r="Q214" s="155"/>
      <c r="R214" s="155"/>
      <c r="S214" s="155"/>
      <c r="T214" s="155"/>
      <c r="U214" s="155"/>
      <c r="V214" s="132"/>
      <c r="W214" s="155"/>
      <c r="X214" s="155"/>
      <c r="Y214" s="155"/>
      <c r="Z214" s="115"/>
      <c r="AA214" s="115"/>
    </row>
    <row r="215">
      <c r="A215" s="111">
        <v>256.0</v>
      </c>
      <c r="B215" s="115" t="s">
        <v>193</v>
      </c>
      <c r="C215" s="62" t="s">
        <v>343</v>
      </c>
      <c r="D215" s="115"/>
      <c r="E215" s="62" t="s">
        <v>208</v>
      </c>
      <c r="F215" s="62" t="s">
        <v>263</v>
      </c>
      <c r="G215" s="115" t="s">
        <v>264</v>
      </c>
      <c r="H215" s="115">
        <v>2020.0</v>
      </c>
      <c r="I215" s="115">
        <v>2025.0</v>
      </c>
      <c r="J215" s="115" t="s">
        <v>955</v>
      </c>
      <c r="K215" s="137">
        <v>-0.4</v>
      </c>
      <c r="L215" s="115" t="s">
        <v>956</v>
      </c>
      <c r="M215" s="139">
        <v>2020.0</v>
      </c>
      <c r="N215" s="115" t="s">
        <v>928</v>
      </c>
      <c r="O215" s="115" t="s">
        <v>954</v>
      </c>
      <c r="P215" s="132">
        <v>2018.0</v>
      </c>
      <c r="Q215" s="155"/>
      <c r="R215" s="155"/>
      <c r="S215" s="155"/>
      <c r="T215" s="155"/>
      <c r="U215" s="155"/>
      <c r="V215" s="132"/>
      <c r="W215" s="155"/>
      <c r="X215" s="155"/>
      <c r="Y215" s="155"/>
      <c r="Z215" s="115"/>
      <c r="AA215" s="115"/>
    </row>
    <row r="216">
      <c r="A216" s="111">
        <v>257.0</v>
      </c>
      <c r="B216" s="115" t="s">
        <v>193</v>
      </c>
      <c r="C216" s="62" t="s">
        <v>343</v>
      </c>
      <c r="D216" s="115"/>
      <c r="E216" s="62" t="s">
        <v>231</v>
      </c>
      <c r="F216" s="62" t="s">
        <v>683</v>
      </c>
      <c r="G216" s="134"/>
      <c r="H216" s="115">
        <v>2020.0</v>
      </c>
      <c r="I216" s="115">
        <v>2025.0</v>
      </c>
      <c r="J216" s="115" t="s">
        <v>957</v>
      </c>
      <c r="K216" s="137">
        <v>0.9</v>
      </c>
      <c r="L216" s="115" t="s">
        <v>958</v>
      </c>
      <c r="M216" s="139">
        <v>2020.0</v>
      </c>
      <c r="N216" s="115" t="s">
        <v>928</v>
      </c>
      <c r="O216" s="115"/>
      <c r="P216" s="132"/>
      <c r="Q216" s="155"/>
      <c r="R216" s="155"/>
      <c r="S216" s="155"/>
      <c r="T216" s="155"/>
      <c r="U216" s="155"/>
      <c r="V216" s="132"/>
      <c r="W216" s="155"/>
      <c r="X216" s="155"/>
      <c r="Y216" s="155"/>
      <c r="Z216" s="115"/>
      <c r="AA216" s="115"/>
    </row>
    <row r="217">
      <c r="A217" s="111">
        <v>258.0</v>
      </c>
      <c r="B217" s="115" t="s">
        <v>193</v>
      </c>
      <c r="C217" s="62" t="s">
        <v>219</v>
      </c>
      <c r="D217" s="115"/>
      <c r="E217" s="62" t="s">
        <v>208</v>
      </c>
      <c r="F217" s="259" t="s">
        <v>420</v>
      </c>
      <c r="G217" s="260"/>
      <c r="H217" s="115">
        <v>2020.0</v>
      </c>
      <c r="I217" s="115">
        <v>2021.0</v>
      </c>
      <c r="J217" s="115" t="s">
        <v>959</v>
      </c>
      <c r="K217" s="137">
        <v>0.7</v>
      </c>
      <c r="L217" s="115" t="s">
        <v>960</v>
      </c>
      <c r="M217" s="139">
        <v>2020.0</v>
      </c>
      <c r="N217" s="115" t="s">
        <v>928</v>
      </c>
      <c r="O217" s="115" t="s">
        <v>501</v>
      </c>
      <c r="P217" s="132"/>
      <c r="Q217" s="155"/>
      <c r="R217" s="155"/>
      <c r="S217" s="155"/>
      <c r="T217" s="155"/>
      <c r="U217" s="155"/>
      <c r="V217" s="132">
        <v>2021.0</v>
      </c>
      <c r="W217" s="115" t="s">
        <v>961</v>
      </c>
      <c r="X217" s="137">
        <v>0.65</v>
      </c>
      <c r="Y217" s="115" t="s">
        <v>961</v>
      </c>
      <c r="Z217" s="115" t="s">
        <v>962</v>
      </c>
      <c r="AA217" s="115" t="s">
        <v>963</v>
      </c>
    </row>
    <row r="218">
      <c r="A218" s="111">
        <v>259.0</v>
      </c>
      <c r="B218" s="115" t="s">
        <v>193</v>
      </c>
      <c r="C218" s="62" t="s">
        <v>219</v>
      </c>
      <c r="D218" s="115"/>
      <c r="E218" s="62" t="s">
        <v>383</v>
      </c>
      <c r="F218" s="338" t="s">
        <v>244</v>
      </c>
      <c r="G218" s="146"/>
      <c r="H218" s="115">
        <v>2020.0</v>
      </c>
      <c r="I218" s="115">
        <v>2023.0</v>
      </c>
      <c r="J218" s="115" t="s">
        <v>964</v>
      </c>
      <c r="K218" s="115">
        <v>50.0</v>
      </c>
      <c r="L218" s="115" t="s">
        <v>965</v>
      </c>
      <c r="M218" s="139">
        <v>2021.0</v>
      </c>
      <c r="N218" s="115" t="s">
        <v>962</v>
      </c>
      <c r="O218" s="115" t="s">
        <v>328</v>
      </c>
      <c r="P218" s="132"/>
      <c r="Q218" s="155"/>
      <c r="R218" s="155"/>
      <c r="S218" s="155"/>
      <c r="T218" s="155"/>
      <c r="U218" s="155"/>
      <c r="V218" s="132">
        <v>2023.0</v>
      </c>
      <c r="W218" s="155"/>
      <c r="X218" s="115">
        <v>6.3</v>
      </c>
      <c r="Y218" s="115" t="s">
        <v>965</v>
      </c>
      <c r="Z218" s="115" t="s">
        <v>934</v>
      </c>
      <c r="AA218" s="115" t="s">
        <v>951</v>
      </c>
    </row>
    <row r="219">
      <c r="A219" s="111">
        <v>260.0</v>
      </c>
      <c r="B219" s="115" t="s">
        <v>193</v>
      </c>
      <c r="C219" s="62" t="s">
        <v>219</v>
      </c>
      <c r="D219" s="115"/>
      <c r="E219" s="62" t="s">
        <v>208</v>
      </c>
      <c r="F219" s="114" t="s">
        <v>220</v>
      </c>
      <c r="G219" s="146"/>
      <c r="H219" s="115">
        <v>2021.0</v>
      </c>
      <c r="I219" s="115">
        <v>2023.0</v>
      </c>
      <c r="J219" s="115" t="s">
        <v>966</v>
      </c>
      <c r="K219" s="137">
        <v>1.0</v>
      </c>
      <c r="L219" s="115" t="s">
        <v>967</v>
      </c>
      <c r="M219" s="139">
        <v>2021.0</v>
      </c>
      <c r="N219" s="115" t="s">
        <v>962</v>
      </c>
      <c r="O219" s="115" t="s">
        <v>968</v>
      </c>
      <c r="P219" s="132"/>
      <c r="Q219" s="155"/>
      <c r="R219" s="155"/>
      <c r="S219" s="155"/>
      <c r="T219" s="155"/>
      <c r="U219" s="155"/>
      <c r="V219" s="132">
        <v>2023.0</v>
      </c>
      <c r="W219" s="155"/>
      <c r="X219" s="224">
        <v>0.886</v>
      </c>
      <c r="Y219" s="115" t="s">
        <v>969</v>
      </c>
      <c r="Z219" s="115" t="s">
        <v>934</v>
      </c>
      <c r="AA219" s="115" t="s">
        <v>637</v>
      </c>
    </row>
    <row r="220">
      <c r="A220" s="111">
        <v>261.0</v>
      </c>
      <c r="B220" s="115" t="s">
        <v>193</v>
      </c>
      <c r="C220" s="62" t="s">
        <v>219</v>
      </c>
      <c r="D220" s="115"/>
      <c r="E220" s="62" t="s">
        <v>208</v>
      </c>
      <c r="F220" s="114" t="s">
        <v>220</v>
      </c>
      <c r="G220" s="111" t="s">
        <v>251</v>
      </c>
      <c r="H220" s="115">
        <v>2021.0</v>
      </c>
      <c r="I220" s="115">
        <v>2023.0</v>
      </c>
      <c r="J220" s="115" t="s">
        <v>970</v>
      </c>
      <c r="K220" s="137">
        <v>1.0</v>
      </c>
      <c r="L220" s="115" t="s">
        <v>971</v>
      </c>
      <c r="M220" s="139">
        <v>2021.0</v>
      </c>
      <c r="N220" s="115" t="s">
        <v>962</v>
      </c>
      <c r="O220" s="115" t="s">
        <v>968</v>
      </c>
      <c r="P220" s="132"/>
      <c r="Q220" s="155"/>
      <c r="R220" s="155"/>
      <c r="S220" s="155"/>
      <c r="T220" s="155"/>
      <c r="U220" s="155"/>
      <c r="V220" s="132">
        <v>2023.0</v>
      </c>
      <c r="W220" s="155"/>
      <c r="X220" s="115">
        <f>38.2+35.7+18.3</f>
        <v>92.2</v>
      </c>
      <c r="Y220" s="115" t="s">
        <v>972</v>
      </c>
      <c r="Z220" s="115" t="s">
        <v>934</v>
      </c>
      <c r="AA220" s="115" t="s">
        <v>973</v>
      </c>
    </row>
    <row r="221">
      <c r="A221" s="111">
        <v>262.0</v>
      </c>
      <c r="B221" s="127" t="s">
        <v>193</v>
      </c>
      <c r="C221" s="252" t="s">
        <v>207</v>
      </c>
      <c r="D221" s="127"/>
      <c r="E221" s="252" t="s">
        <v>208</v>
      </c>
      <c r="F221" s="339" t="s">
        <v>220</v>
      </c>
      <c r="G221" s="271" t="s">
        <v>374</v>
      </c>
      <c r="H221" s="135">
        <v>2021.0</v>
      </c>
      <c r="I221" s="135">
        <v>2023.0</v>
      </c>
      <c r="J221" s="232" t="s">
        <v>974</v>
      </c>
      <c r="K221" s="256">
        <v>1.0</v>
      </c>
      <c r="L221" s="238" t="s">
        <v>975</v>
      </c>
      <c r="M221" s="126">
        <v>2021.0</v>
      </c>
      <c r="N221" s="127" t="s">
        <v>962</v>
      </c>
      <c r="O221" s="127" t="s">
        <v>968</v>
      </c>
      <c r="P221" s="132"/>
      <c r="Q221" s="155"/>
      <c r="R221" s="155"/>
      <c r="S221" s="155"/>
      <c r="T221" s="155"/>
      <c r="U221" s="155"/>
      <c r="V221" s="132">
        <v>2023.0</v>
      </c>
      <c r="W221" s="155"/>
      <c r="X221" s="137">
        <v>1.0</v>
      </c>
      <c r="Y221" s="238" t="s">
        <v>975</v>
      </c>
      <c r="Z221" s="115" t="s">
        <v>934</v>
      </c>
      <c r="AA221" s="115" t="s">
        <v>637</v>
      </c>
    </row>
    <row r="222">
      <c r="A222" s="111">
        <v>263.0</v>
      </c>
      <c r="B222" s="340" t="s">
        <v>193</v>
      </c>
      <c r="C222" s="341" t="s">
        <v>219</v>
      </c>
      <c r="D222" s="127"/>
      <c r="E222" s="341" t="s">
        <v>208</v>
      </c>
      <c r="F222" s="342" t="s">
        <v>220</v>
      </c>
      <c r="G222" s="343"/>
      <c r="H222" s="344">
        <v>2021.0</v>
      </c>
      <c r="I222" s="344">
        <v>2023.0</v>
      </c>
      <c r="J222" s="345" t="s">
        <v>976</v>
      </c>
      <c r="K222" s="256">
        <v>1.0</v>
      </c>
      <c r="L222" s="346" t="s">
        <v>977</v>
      </c>
      <c r="M222" s="347">
        <v>2021.0</v>
      </c>
      <c r="N222" s="348" t="s">
        <v>962</v>
      </c>
      <c r="O222" s="349" t="s">
        <v>968</v>
      </c>
      <c r="P222" s="132"/>
      <c r="Q222" s="155"/>
      <c r="R222" s="155"/>
      <c r="S222" s="155"/>
      <c r="T222" s="350"/>
      <c r="U222" s="351"/>
      <c r="V222" s="132">
        <v>2023.0</v>
      </c>
      <c r="W222" s="155"/>
      <c r="X222" s="137">
        <v>0.14</v>
      </c>
      <c r="Y222" s="346" t="s">
        <v>977</v>
      </c>
      <c r="Z222" s="115" t="s">
        <v>934</v>
      </c>
      <c r="AA222" s="115" t="s">
        <v>978</v>
      </c>
    </row>
    <row r="223">
      <c r="A223" s="111">
        <v>264.0</v>
      </c>
      <c r="B223" s="340" t="s">
        <v>193</v>
      </c>
      <c r="C223" s="341" t="s">
        <v>219</v>
      </c>
      <c r="D223" s="127"/>
      <c r="E223" s="341" t="s">
        <v>208</v>
      </c>
      <c r="F223" s="342" t="s">
        <v>220</v>
      </c>
      <c r="G223" s="343"/>
      <c r="H223" s="344">
        <v>2021.0</v>
      </c>
      <c r="I223" s="344">
        <v>2023.0</v>
      </c>
      <c r="J223" s="345" t="s">
        <v>979</v>
      </c>
      <c r="K223" s="352">
        <v>0.5</v>
      </c>
      <c r="L223" s="346" t="s">
        <v>980</v>
      </c>
      <c r="M223" s="347">
        <v>2021.0</v>
      </c>
      <c r="N223" s="348" t="s">
        <v>962</v>
      </c>
      <c r="O223" s="349" t="s">
        <v>968</v>
      </c>
      <c r="P223" s="132"/>
      <c r="Q223" s="155"/>
      <c r="R223" s="155"/>
      <c r="S223" s="155"/>
      <c r="T223" s="350"/>
      <c r="U223" s="155"/>
      <c r="V223" s="132">
        <v>2023.0</v>
      </c>
      <c r="W223" s="350"/>
      <c r="X223" s="115" t="s">
        <v>981</v>
      </c>
      <c r="Y223" s="346" t="s">
        <v>980</v>
      </c>
      <c r="Z223" s="115" t="s">
        <v>934</v>
      </c>
      <c r="AA223" s="115" t="s">
        <v>982</v>
      </c>
    </row>
    <row r="224">
      <c r="A224" s="111">
        <v>265.0</v>
      </c>
      <c r="B224" s="353" t="s">
        <v>193</v>
      </c>
      <c r="C224" s="341" t="s">
        <v>274</v>
      </c>
      <c r="D224" s="232" t="s">
        <v>983</v>
      </c>
      <c r="E224" s="341" t="s">
        <v>208</v>
      </c>
      <c r="F224" s="354" t="s">
        <v>244</v>
      </c>
      <c r="G224" s="271"/>
      <c r="H224" s="355">
        <v>2023.0</v>
      </c>
      <c r="I224" s="355">
        <v>2024.0</v>
      </c>
      <c r="J224" s="345" t="s">
        <v>984</v>
      </c>
      <c r="K224" s="352">
        <v>1.0</v>
      </c>
      <c r="L224" s="238" t="s">
        <v>985</v>
      </c>
      <c r="M224" s="126">
        <v>2023.0</v>
      </c>
      <c r="N224" s="345" t="s">
        <v>934</v>
      </c>
      <c r="O224" s="356" t="s">
        <v>986</v>
      </c>
      <c r="P224" s="132"/>
      <c r="Q224" s="155"/>
      <c r="R224" s="155"/>
      <c r="S224" s="155"/>
      <c r="T224" s="155"/>
      <c r="U224" s="155"/>
      <c r="V224" s="132"/>
      <c r="W224" s="350"/>
      <c r="X224" s="115"/>
      <c r="Y224" s="238"/>
      <c r="Z224" s="232" t="s">
        <v>987</v>
      </c>
      <c r="AA224" s="115" t="s">
        <v>988</v>
      </c>
    </row>
    <row r="225">
      <c r="A225" s="111">
        <v>266.0</v>
      </c>
      <c r="B225" s="232" t="s">
        <v>193</v>
      </c>
      <c r="C225" s="252" t="s">
        <v>274</v>
      </c>
      <c r="D225" s="232" t="s">
        <v>989</v>
      </c>
      <c r="E225" s="252" t="s">
        <v>383</v>
      </c>
      <c r="F225" s="339" t="s">
        <v>220</v>
      </c>
      <c r="G225" s="267"/>
      <c r="H225" s="131">
        <v>2023.0</v>
      </c>
      <c r="I225" s="131">
        <v>2024.0</v>
      </c>
      <c r="J225" s="232" t="s">
        <v>990</v>
      </c>
      <c r="K225" s="352">
        <v>1.0</v>
      </c>
      <c r="L225" s="238" t="s">
        <v>991</v>
      </c>
      <c r="M225" s="126">
        <v>2023.0</v>
      </c>
      <c r="N225" s="345" t="s">
        <v>934</v>
      </c>
      <c r="O225" s="232" t="s">
        <v>992</v>
      </c>
      <c r="P225" s="132"/>
      <c r="Q225" s="155"/>
      <c r="R225" s="155"/>
      <c r="S225" s="155"/>
      <c r="T225" s="155"/>
      <c r="U225" s="155"/>
      <c r="V225" s="132"/>
      <c r="W225" s="155"/>
      <c r="X225" s="115"/>
      <c r="Y225" s="238"/>
      <c r="Z225" s="232" t="s">
        <v>987</v>
      </c>
      <c r="AA225" s="115" t="s">
        <v>993</v>
      </c>
    </row>
    <row r="226">
      <c r="A226" s="111">
        <v>267.0</v>
      </c>
      <c r="B226" s="232" t="s">
        <v>193</v>
      </c>
      <c r="C226" s="252" t="s">
        <v>343</v>
      </c>
      <c r="D226" s="232"/>
      <c r="E226" s="252" t="s">
        <v>208</v>
      </c>
      <c r="F226" s="354" t="s">
        <v>263</v>
      </c>
      <c r="G226" s="115" t="s">
        <v>379</v>
      </c>
      <c r="H226" s="131">
        <v>2024.0</v>
      </c>
      <c r="I226" s="131">
        <v>2040.0</v>
      </c>
      <c r="J226" s="232" t="s">
        <v>994</v>
      </c>
      <c r="K226" s="352"/>
      <c r="L226" s="238"/>
      <c r="M226" s="126">
        <v>2024.0</v>
      </c>
      <c r="N226" s="345" t="s">
        <v>995</v>
      </c>
      <c r="O226" s="232" t="s">
        <v>996</v>
      </c>
      <c r="P226" s="132"/>
      <c r="Q226" s="155"/>
      <c r="R226" s="155"/>
      <c r="S226" s="155"/>
      <c r="T226" s="155"/>
      <c r="U226" s="155"/>
      <c r="V226" s="132"/>
      <c r="W226" s="155"/>
      <c r="X226" s="115"/>
      <c r="Y226" s="238"/>
      <c r="Z226" s="115"/>
      <c r="AA226" s="115"/>
    </row>
    <row r="227">
      <c r="A227" s="111">
        <v>268.0</v>
      </c>
      <c r="B227" s="232" t="s">
        <v>193</v>
      </c>
      <c r="C227" s="252" t="s">
        <v>343</v>
      </c>
      <c r="D227" s="232"/>
      <c r="E227" s="252" t="s">
        <v>208</v>
      </c>
      <c r="F227" s="234" t="s">
        <v>263</v>
      </c>
      <c r="G227" s="115" t="s">
        <v>379</v>
      </c>
      <c r="H227" s="131">
        <v>2024.0</v>
      </c>
      <c r="I227" s="131">
        <v>2050.0</v>
      </c>
      <c r="J227" s="232" t="s">
        <v>994</v>
      </c>
      <c r="K227" s="352"/>
      <c r="L227" s="238"/>
      <c r="M227" s="126">
        <v>2024.0</v>
      </c>
      <c r="N227" s="232" t="s">
        <v>995</v>
      </c>
      <c r="O227" s="232" t="s">
        <v>996</v>
      </c>
      <c r="P227" s="132"/>
      <c r="Q227" s="155"/>
      <c r="R227" s="155"/>
      <c r="S227" s="155"/>
      <c r="T227" s="155"/>
      <c r="U227" s="155"/>
      <c r="V227" s="132"/>
      <c r="W227" s="155"/>
      <c r="X227" s="115"/>
      <c r="Y227" s="238"/>
      <c r="Z227" s="115"/>
      <c r="AA227" s="115"/>
    </row>
    <row r="228">
      <c r="A228" s="111">
        <v>269.0</v>
      </c>
      <c r="B228" s="232" t="s">
        <v>193</v>
      </c>
      <c r="C228" s="252" t="s">
        <v>343</v>
      </c>
      <c r="D228" s="232"/>
      <c r="E228" s="252" t="s">
        <v>231</v>
      </c>
      <c r="F228" s="234" t="s">
        <v>220</v>
      </c>
      <c r="G228" s="271"/>
      <c r="H228" s="131">
        <v>2024.0</v>
      </c>
      <c r="I228" s="131">
        <v>2033.0</v>
      </c>
      <c r="J228" s="232" t="s">
        <v>997</v>
      </c>
      <c r="K228" s="352">
        <v>0.0</v>
      </c>
      <c r="L228" s="238" t="s">
        <v>998</v>
      </c>
      <c r="M228" s="126">
        <v>2024.0</v>
      </c>
      <c r="N228" s="232" t="s">
        <v>995</v>
      </c>
      <c r="O228" s="232" t="s">
        <v>328</v>
      </c>
      <c r="P228" s="132"/>
      <c r="Q228" s="155"/>
      <c r="R228" s="155"/>
      <c r="S228" s="155"/>
      <c r="T228" s="155"/>
      <c r="U228" s="155"/>
      <c r="V228" s="132"/>
      <c r="W228" s="155"/>
      <c r="X228" s="115"/>
      <c r="Y228" s="238"/>
      <c r="Z228" s="115"/>
      <c r="AA228" s="115"/>
    </row>
    <row r="229">
      <c r="A229" s="111">
        <v>270.0</v>
      </c>
      <c r="B229" s="232" t="s">
        <v>193</v>
      </c>
      <c r="C229" s="252" t="s">
        <v>343</v>
      </c>
      <c r="D229" s="232"/>
      <c r="E229" s="252" t="s">
        <v>231</v>
      </c>
      <c r="F229" s="234" t="s">
        <v>220</v>
      </c>
      <c r="G229" s="232" t="s">
        <v>251</v>
      </c>
      <c r="H229" s="131">
        <v>2024.0</v>
      </c>
      <c r="I229" s="131">
        <v>2033.0</v>
      </c>
      <c r="J229" s="232" t="s">
        <v>999</v>
      </c>
      <c r="K229" s="352"/>
      <c r="L229" s="238"/>
      <c r="M229" s="126">
        <v>2024.0</v>
      </c>
      <c r="N229" s="232" t="s">
        <v>995</v>
      </c>
      <c r="O229" s="356" t="s">
        <v>328</v>
      </c>
      <c r="P229" s="132"/>
      <c r="Q229" s="155"/>
      <c r="R229" s="155"/>
      <c r="S229" s="155"/>
      <c r="T229" s="155"/>
      <c r="U229" s="155"/>
      <c r="V229" s="132"/>
      <c r="W229" s="155"/>
      <c r="X229" s="115"/>
      <c r="Y229" s="346"/>
      <c r="Z229" s="115"/>
      <c r="AA229" s="115"/>
    </row>
    <row r="230">
      <c r="A230" s="111">
        <v>271.0</v>
      </c>
      <c r="B230" s="115" t="s">
        <v>144</v>
      </c>
      <c r="C230" s="62" t="s">
        <v>207</v>
      </c>
      <c r="D230" s="115"/>
      <c r="E230" s="62" t="s">
        <v>208</v>
      </c>
      <c r="F230" s="62" t="s">
        <v>244</v>
      </c>
      <c r="G230" s="134"/>
      <c r="H230" s="115">
        <v>2019.0</v>
      </c>
      <c r="I230" s="115">
        <v>2020.0</v>
      </c>
      <c r="J230" s="221" t="s">
        <v>1000</v>
      </c>
      <c r="K230" s="137">
        <v>1.0</v>
      </c>
      <c r="L230" s="115" t="s">
        <v>887</v>
      </c>
      <c r="M230" s="128">
        <v>2019.0</v>
      </c>
      <c r="N230" s="124" t="s">
        <v>1001</v>
      </c>
      <c r="O230" s="115"/>
      <c r="P230" s="132"/>
      <c r="Q230" s="115"/>
      <c r="R230" s="115"/>
      <c r="S230" s="115"/>
      <c r="T230" s="124"/>
      <c r="U230" s="115"/>
      <c r="V230" s="132">
        <v>2020.0</v>
      </c>
      <c r="W230" s="115" t="s">
        <v>1002</v>
      </c>
      <c r="X230" s="138">
        <v>1.0</v>
      </c>
      <c r="Y230" s="115" t="s">
        <v>887</v>
      </c>
      <c r="Z230" s="124" t="s">
        <v>1003</v>
      </c>
      <c r="AA230" s="115"/>
    </row>
    <row r="231">
      <c r="A231" s="111">
        <v>272.0</v>
      </c>
      <c r="B231" s="159" t="s">
        <v>144</v>
      </c>
      <c r="C231" s="160" t="s">
        <v>207</v>
      </c>
      <c r="D231" s="115"/>
      <c r="E231" s="160" t="s">
        <v>208</v>
      </c>
      <c r="F231" s="160" t="s">
        <v>244</v>
      </c>
      <c r="G231" s="214"/>
      <c r="H231" s="161">
        <v>2019.0</v>
      </c>
      <c r="I231" s="161">
        <v>2020.0</v>
      </c>
      <c r="J231" s="327" t="s">
        <v>1004</v>
      </c>
      <c r="K231" s="137">
        <v>0.0</v>
      </c>
      <c r="L231" s="161"/>
      <c r="M231" s="163">
        <v>2019.0</v>
      </c>
      <c r="N231" s="168" t="s">
        <v>1001</v>
      </c>
      <c r="O231" s="357"/>
      <c r="P231" s="166"/>
      <c r="Q231" s="161"/>
      <c r="R231" s="161"/>
      <c r="S231" s="161"/>
      <c r="T231" s="168"/>
      <c r="U231" s="165"/>
      <c r="V231" s="132">
        <v>2020.0</v>
      </c>
      <c r="W231" s="161" t="s">
        <v>1004</v>
      </c>
      <c r="X231" s="170"/>
      <c r="Y231" s="358"/>
      <c r="Z231" s="124" t="s">
        <v>1003</v>
      </c>
      <c r="AA231" s="115"/>
    </row>
    <row r="232">
      <c r="A232" s="111">
        <v>273.0</v>
      </c>
      <c r="B232" s="172" t="s">
        <v>144</v>
      </c>
      <c r="C232" s="173" t="s">
        <v>219</v>
      </c>
      <c r="D232" s="115" t="s">
        <v>1005</v>
      </c>
      <c r="E232" s="173" t="s">
        <v>231</v>
      </c>
      <c r="F232" s="173" t="s">
        <v>244</v>
      </c>
      <c r="G232" s="318"/>
      <c r="H232" s="174">
        <v>2019.0</v>
      </c>
      <c r="I232" s="174">
        <v>2023.0</v>
      </c>
      <c r="J232" s="329" t="s">
        <v>1006</v>
      </c>
      <c r="K232" s="175">
        <v>0.0</v>
      </c>
      <c r="L232" s="174" t="s">
        <v>1007</v>
      </c>
      <c r="M232" s="330">
        <v>2019.0</v>
      </c>
      <c r="N232" s="178" t="s">
        <v>1001</v>
      </c>
      <c r="O232" s="331" t="s">
        <v>1008</v>
      </c>
      <c r="P232" s="176"/>
      <c r="Q232" s="174"/>
      <c r="R232" s="174"/>
      <c r="S232" s="174"/>
      <c r="T232" s="178"/>
      <c r="U232" s="331"/>
      <c r="V232" s="176">
        <v>2023.0</v>
      </c>
      <c r="W232" s="174" t="s">
        <v>1009</v>
      </c>
      <c r="X232" s="332">
        <v>0.05</v>
      </c>
      <c r="Y232" s="174"/>
      <c r="Z232" s="178" t="s">
        <v>337</v>
      </c>
      <c r="AA232" s="182" t="s">
        <v>1010</v>
      </c>
    </row>
    <row r="233">
      <c r="A233" s="111">
        <v>274.0</v>
      </c>
      <c r="B233" s="159" t="s">
        <v>144</v>
      </c>
      <c r="C233" s="160" t="s">
        <v>207</v>
      </c>
      <c r="D233" s="115"/>
      <c r="E233" s="160" t="s">
        <v>231</v>
      </c>
      <c r="F233" s="160" t="s">
        <v>244</v>
      </c>
      <c r="G233" s="214"/>
      <c r="H233" s="161">
        <v>2019.0</v>
      </c>
      <c r="I233" s="161">
        <v>2023.0</v>
      </c>
      <c r="J233" s="327" t="s">
        <v>1011</v>
      </c>
      <c r="K233" s="162">
        <v>0.0</v>
      </c>
      <c r="L233" s="161" t="s">
        <v>1012</v>
      </c>
      <c r="M233" s="163">
        <v>2019.0</v>
      </c>
      <c r="N233" s="168" t="s">
        <v>1001</v>
      </c>
      <c r="O233" s="165"/>
      <c r="P233" s="166"/>
      <c r="Q233" s="161"/>
      <c r="R233" s="161"/>
      <c r="S233" s="161"/>
      <c r="T233" s="168"/>
      <c r="U233" s="165"/>
      <c r="V233" s="166">
        <v>2023.0</v>
      </c>
      <c r="W233" s="161" t="s">
        <v>1013</v>
      </c>
      <c r="X233" s="170">
        <v>0.0</v>
      </c>
      <c r="Y233" s="161"/>
      <c r="Z233" s="168" t="s">
        <v>337</v>
      </c>
      <c r="AA233" s="333" t="s">
        <v>1014</v>
      </c>
    </row>
    <row r="234">
      <c r="A234" s="111">
        <v>275.0</v>
      </c>
      <c r="B234" s="172" t="s">
        <v>144</v>
      </c>
      <c r="C234" s="173" t="s">
        <v>207</v>
      </c>
      <c r="D234" s="115"/>
      <c r="E234" s="173" t="s">
        <v>208</v>
      </c>
      <c r="F234" s="173" t="s">
        <v>420</v>
      </c>
      <c r="G234" s="318"/>
      <c r="H234" s="174">
        <v>2021.0</v>
      </c>
      <c r="I234" s="174">
        <v>2022.0</v>
      </c>
      <c r="J234" s="329" t="s">
        <v>1015</v>
      </c>
      <c r="K234" s="175">
        <v>0.5</v>
      </c>
      <c r="L234" s="174" t="s">
        <v>892</v>
      </c>
      <c r="M234" s="330">
        <v>2021.0</v>
      </c>
      <c r="N234" s="359" t="s">
        <v>1016</v>
      </c>
      <c r="O234" s="331"/>
      <c r="P234" s="176"/>
      <c r="Q234" s="174"/>
      <c r="R234" s="174"/>
      <c r="S234" s="174"/>
      <c r="T234" s="178"/>
      <c r="U234" s="331"/>
      <c r="V234" s="176">
        <v>2022.0</v>
      </c>
      <c r="W234" s="174" t="s">
        <v>1017</v>
      </c>
      <c r="X234" s="332">
        <v>0.61</v>
      </c>
      <c r="Y234" s="174" t="s">
        <v>892</v>
      </c>
      <c r="Z234" s="178" t="s">
        <v>1018</v>
      </c>
      <c r="AA234" s="182"/>
    </row>
    <row r="235">
      <c r="A235" s="111">
        <v>276.0</v>
      </c>
      <c r="B235" s="159" t="s">
        <v>144</v>
      </c>
      <c r="C235" s="160" t="s">
        <v>219</v>
      </c>
      <c r="D235" s="115" t="s">
        <v>1019</v>
      </c>
      <c r="E235" s="160" t="s">
        <v>231</v>
      </c>
      <c r="F235" s="160" t="s">
        <v>220</v>
      </c>
      <c r="G235" s="161" t="s">
        <v>251</v>
      </c>
      <c r="H235" s="161">
        <v>2021.0</v>
      </c>
      <c r="I235" s="161">
        <v>2023.0</v>
      </c>
      <c r="J235" s="327" t="s">
        <v>1020</v>
      </c>
      <c r="K235" s="162">
        <v>1.0</v>
      </c>
      <c r="L235" s="161" t="s">
        <v>1021</v>
      </c>
      <c r="M235" s="128">
        <v>2021.0</v>
      </c>
      <c r="N235" s="359" t="s">
        <v>1016</v>
      </c>
      <c r="O235" s="165"/>
      <c r="P235" s="166"/>
      <c r="Q235" s="161"/>
      <c r="R235" s="161"/>
      <c r="S235" s="161"/>
      <c r="T235" s="168"/>
      <c r="U235" s="165"/>
      <c r="V235" s="166">
        <v>2023.0</v>
      </c>
      <c r="W235" s="161" t="s">
        <v>1022</v>
      </c>
      <c r="X235" s="360" t="s">
        <v>1023</v>
      </c>
      <c r="Y235" s="161" t="s">
        <v>1024</v>
      </c>
      <c r="Z235" s="168" t="s">
        <v>1025</v>
      </c>
      <c r="AA235" s="333" t="s">
        <v>1026</v>
      </c>
    </row>
    <row r="236">
      <c r="A236" s="111">
        <v>277.0</v>
      </c>
      <c r="B236" s="172" t="s">
        <v>144</v>
      </c>
      <c r="C236" s="173" t="s">
        <v>343</v>
      </c>
      <c r="D236" s="115"/>
      <c r="E236" s="173" t="s">
        <v>208</v>
      </c>
      <c r="F236" s="173" t="s">
        <v>267</v>
      </c>
      <c r="G236" s="318"/>
      <c r="H236" s="174">
        <v>2021.0</v>
      </c>
      <c r="I236" s="174">
        <v>2025.0</v>
      </c>
      <c r="J236" s="329" t="s">
        <v>1027</v>
      </c>
      <c r="K236" s="175">
        <v>0.25</v>
      </c>
      <c r="L236" s="174"/>
      <c r="M236" s="330">
        <v>2021.0</v>
      </c>
      <c r="N236" s="359" t="s">
        <v>1016</v>
      </c>
      <c r="O236" s="331" t="s">
        <v>1028</v>
      </c>
      <c r="P236" s="176">
        <v>2020.0</v>
      </c>
      <c r="Q236" s="174" t="s">
        <v>1029</v>
      </c>
      <c r="R236" s="174">
        <v>96.0</v>
      </c>
      <c r="S236" s="174" t="s">
        <v>1030</v>
      </c>
      <c r="T236" s="178" t="s">
        <v>337</v>
      </c>
      <c r="U236" s="331" t="s">
        <v>1031</v>
      </c>
      <c r="V236" s="176"/>
      <c r="W236" s="174"/>
      <c r="X236" s="361"/>
      <c r="Y236" s="174"/>
      <c r="Z236" s="178"/>
      <c r="AA236" s="362"/>
    </row>
    <row r="237">
      <c r="A237" s="111">
        <v>278.0</v>
      </c>
      <c r="B237" s="159" t="s">
        <v>144</v>
      </c>
      <c r="C237" s="160" t="s">
        <v>343</v>
      </c>
      <c r="D237" s="115"/>
      <c r="E237" s="160" t="s">
        <v>231</v>
      </c>
      <c r="F237" s="160" t="s">
        <v>220</v>
      </c>
      <c r="G237" s="214"/>
      <c r="H237" s="161">
        <v>2021.0</v>
      </c>
      <c r="I237" s="161">
        <v>2025.0</v>
      </c>
      <c r="J237" s="327" t="s">
        <v>1032</v>
      </c>
      <c r="K237" s="162">
        <v>1.0</v>
      </c>
      <c r="L237" s="161" t="s">
        <v>1033</v>
      </c>
      <c r="M237" s="163">
        <v>2021.0</v>
      </c>
      <c r="N237" s="168" t="s">
        <v>1016</v>
      </c>
      <c r="O237" s="165"/>
      <c r="P237" s="166"/>
      <c r="Q237" s="161"/>
      <c r="R237" s="161"/>
      <c r="S237" s="161"/>
      <c r="T237" s="168"/>
      <c r="U237" s="165"/>
      <c r="V237" s="166">
        <v>2024.0</v>
      </c>
      <c r="W237" s="161" t="s">
        <v>1034</v>
      </c>
      <c r="X237" s="360" t="s">
        <v>1035</v>
      </c>
      <c r="Y237" s="161"/>
      <c r="Z237" s="168" t="s">
        <v>146</v>
      </c>
      <c r="AA237" s="333" t="s">
        <v>1036</v>
      </c>
    </row>
    <row r="238">
      <c r="A238" s="111">
        <v>279.0</v>
      </c>
      <c r="B238" s="172" t="s">
        <v>144</v>
      </c>
      <c r="C238" s="173" t="s">
        <v>343</v>
      </c>
      <c r="D238" s="115"/>
      <c r="E238" s="173" t="s">
        <v>383</v>
      </c>
      <c r="F238" s="363" t="s">
        <v>461</v>
      </c>
      <c r="G238" s="318"/>
      <c r="H238" s="174">
        <v>2022.0</v>
      </c>
      <c r="I238" s="174">
        <v>2025.0</v>
      </c>
      <c r="J238" s="329" t="s">
        <v>1037</v>
      </c>
      <c r="K238" s="174" t="s">
        <v>274</v>
      </c>
      <c r="L238" s="174"/>
      <c r="M238" s="364">
        <v>2022.0</v>
      </c>
      <c r="N238" s="178"/>
      <c r="O238" s="331"/>
      <c r="P238" s="176"/>
      <c r="Q238" s="174"/>
      <c r="R238" s="174"/>
      <c r="S238" s="174"/>
      <c r="T238" s="178"/>
      <c r="U238" s="331"/>
      <c r="V238" s="176">
        <v>2024.0</v>
      </c>
      <c r="W238" s="174" t="s">
        <v>1038</v>
      </c>
      <c r="X238" s="180">
        <v>17.0</v>
      </c>
      <c r="Y238" s="174" t="s">
        <v>1039</v>
      </c>
      <c r="Z238" s="178" t="s">
        <v>146</v>
      </c>
      <c r="AA238" s="182"/>
    </row>
    <row r="239">
      <c r="A239" s="111">
        <v>280.0</v>
      </c>
      <c r="B239" s="172" t="s">
        <v>144</v>
      </c>
      <c r="C239" s="173" t="s">
        <v>343</v>
      </c>
      <c r="D239" s="115"/>
      <c r="E239" s="173" t="s">
        <v>208</v>
      </c>
      <c r="F239" s="173" t="s">
        <v>267</v>
      </c>
      <c r="G239" s="318"/>
      <c r="H239" s="174">
        <v>2023.0</v>
      </c>
      <c r="I239" s="174">
        <v>2025.0</v>
      </c>
      <c r="J239" s="329" t="s">
        <v>1027</v>
      </c>
      <c r="K239" s="175">
        <v>0.25</v>
      </c>
      <c r="L239" s="174"/>
      <c r="M239" s="330">
        <v>2023.0</v>
      </c>
      <c r="N239" s="178" t="s">
        <v>1040</v>
      </c>
      <c r="O239" s="331"/>
      <c r="P239" s="176">
        <v>2020.0</v>
      </c>
      <c r="Q239" s="174" t="s">
        <v>1029</v>
      </c>
      <c r="R239" s="174"/>
      <c r="S239" s="174"/>
      <c r="T239" s="178" t="s">
        <v>1041</v>
      </c>
      <c r="U239" s="331"/>
      <c r="V239" s="176">
        <v>2023.0</v>
      </c>
      <c r="W239" s="174" t="s">
        <v>1042</v>
      </c>
      <c r="X239" s="332">
        <v>0.17</v>
      </c>
      <c r="Y239" s="174"/>
      <c r="Z239" s="178" t="s">
        <v>1043</v>
      </c>
      <c r="AA239" s="182" t="s">
        <v>415</v>
      </c>
    </row>
    <row r="240">
      <c r="A240" s="111">
        <v>281.0</v>
      </c>
      <c r="B240" s="159" t="s">
        <v>144</v>
      </c>
      <c r="C240" s="160" t="s">
        <v>343</v>
      </c>
      <c r="D240" s="115"/>
      <c r="E240" s="160" t="s">
        <v>208</v>
      </c>
      <c r="F240" s="160" t="s">
        <v>263</v>
      </c>
      <c r="G240" s="161" t="s">
        <v>280</v>
      </c>
      <c r="H240" s="161">
        <v>2023.0</v>
      </c>
      <c r="I240" s="161">
        <v>2030.0</v>
      </c>
      <c r="J240" s="327" t="s">
        <v>1044</v>
      </c>
      <c r="K240" s="162">
        <v>-0.53</v>
      </c>
      <c r="L240" s="161" t="s">
        <v>263</v>
      </c>
      <c r="M240" s="163">
        <v>2023.0</v>
      </c>
      <c r="N240" s="168" t="s">
        <v>1045</v>
      </c>
      <c r="O240" s="165"/>
      <c r="P240" s="166"/>
      <c r="Q240" s="161"/>
      <c r="R240" s="161"/>
      <c r="S240" s="161"/>
      <c r="T240" s="168"/>
      <c r="U240" s="165"/>
      <c r="V240" s="166"/>
      <c r="W240" s="161"/>
      <c r="X240" s="170"/>
      <c r="Y240" s="161"/>
      <c r="Z240" s="168"/>
      <c r="AA240" s="333"/>
    </row>
    <row r="241">
      <c r="A241" s="111">
        <v>282.0</v>
      </c>
      <c r="B241" s="172" t="s">
        <v>144</v>
      </c>
      <c r="C241" s="173" t="s">
        <v>343</v>
      </c>
      <c r="D241" s="115"/>
      <c r="E241" s="173" t="s">
        <v>383</v>
      </c>
      <c r="F241" s="173" t="s">
        <v>220</v>
      </c>
      <c r="G241" s="318"/>
      <c r="H241" s="174">
        <v>2023.0</v>
      </c>
      <c r="I241" s="174">
        <v>2030.0</v>
      </c>
      <c r="J241" s="329" t="s">
        <v>1046</v>
      </c>
      <c r="K241" s="175">
        <v>1.0</v>
      </c>
      <c r="L241" s="174" t="s">
        <v>1047</v>
      </c>
      <c r="M241" s="330">
        <v>2023.0</v>
      </c>
      <c r="N241" s="178" t="s">
        <v>1045</v>
      </c>
      <c r="O241" s="331"/>
      <c r="P241" s="176"/>
      <c r="Q241" s="174"/>
      <c r="R241" s="174"/>
      <c r="S241" s="174"/>
      <c r="T241" s="178"/>
      <c r="U241" s="331"/>
      <c r="V241" s="176"/>
      <c r="W241" s="174"/>
      <c r="X241" s="332"/>
      <c r="Y241" s="174"/>
      <c r="Z241" s="178"/>
      <c r="AA241" s="182"/>
    </row>
    <row r="242">
      <c r="A242" s="111">
        <v>283.0</v>
      </c>
      <c r="B242" s="159" t="s">
        <v>144</v>
      </c>
      <c r="C242" s="160" t="s">
        <v>343</v>
      </c>
      <c r="D242" s="115"/>
      <c r="E242" s="160" t="s">
        <v>208</v>
      </c>
      <c r="F242" s="160" t="s">
        <v>258</v>
      </c>
      <c r="G242" s="214"/>
      <c r="H242" s="161">
        <v>2023.0</v>
      </c>
      <c r="I242" s="161">
        <v>2030.0</v>
      </c>
      <c r="J242" s="327" t="s">
        <v>1048</v>
      </c>
      <c r="K242" s="162"/>
      <c r="L242" s="161"/>
      <c r="M242" s="163">
        <v>2023.0</v>
      </c>
      <c r="N242" s="168" t="s">
        <v>1045</v>
      </c>
      <c r="O242" s="165"/>
      <c r="P242" s="166"/>
      <c r="Q242" s="161"/>
      <c r="R242" s="161"/>
      <c r="S242" s="161"/>
      <c r="T242" s="168"/>
      <c r="U242" s="165"/>
      <c r="V242" s="166">
        <v>2024.0</v>
      </c>
      <c r="W242" s="161"/>
      <c r="X242" s="170"/>
      <c r="Y242" s="161"/>
      <c r="Z242" s="168"/>
      <c r="AA242" s="333"/>
    </row>
    <row r="243">
      <c r="A243" s="111">
        <v>284.0</v>
      </c>
      <c r="B243" s="172" t="s">
        <v>144</v>
      </c>
      <c r="C243" s="173" t="s">
        <v>343</v>
      </c>
      <c r="D243" s="115"/>
      <c r="E243" s="173" t="s">
        <v>231</v>
      </c>
      <c r="F243" s="173" t="s">
        <v>263</v>
      </c>
      <c r="G243" s="174" t="s">
        <v>379</v>
      </c>
      <c r="H243" s="174">
        <v>2023.0</v>
      </c>
      <c r="I243" s="174">
        <v>2040.0</v>
      </c>
      <c r="J243" s="329" t="s">
        <v>1049</v>
      </c>
      <c r="K243" s="175">
        <v>0.0</v>
      </c>
      <c r="L243" s="174" t="s">
        <v>263</v>
      </c>
      <c r="M243" s="330">
        <v>2023.0</v>
      </c>
      <c r="N243" s="178" t="s">
        <v>1045</v>
      </c>
      <c r="O243" s="331"/>
      <c r="P243" s="176"/>
      <c r="Q243" s="174"/>
      <c r="R243" s="174"/>
      <c r="S243" s="174"/>
      <c r="T243" s="178"/>
      <c r="U243" s="331"/>
      <c r="V243" s="176"/>
      <c r="W243" s="174"/>
      <c r="X243" s="332"/>
      <c r="Y243" s="174"/>
      <c r="Z243" s="178"/>
      <c r="AA243" s="182"/>
    </row>
    <row r="244">
      <c r="A244" s="111">
        <v>285.0</v>
      </c>
      <c r="B244" s="159" t="s">
        <v>144</v>
      </c>
      <c r="C244" s="160" t="s">
        <v>343</v>
      </c>
      <c r="D244" s="115"/>
      <c r="E244" s="160" t="s">
        <v>383</v>
      </c>
      <c r="F244" s="160" t="s">
        <v>720</v>
      </c>
      <c r="G244" s="214"/>
      <c r="H244" s="161">
        <v>2023.0</v>
      </c>
      <c r="I244" s="161">
        <v>2030.0</v>
      </c>
      <c r="J244" s="327" t="s">
        <v>1050</v>
      </c>
      <c r="K244" s="161">
        <v>5.0</v>
      </c>
      <c r="L244" s="161" t="s">
        <v>1051</v>
      </c>
      <c r="M244" s="163">
        <v>2023.0</v>
      </c>
      <c r="N244" s="168" t="s">
        <v>1045</v>
      </c>
      <c r="O244" s="165"/>
      <c r="P244" s="166"/>
      <c r="Q244" s="161"/>
      <c r="R244" s="161"/>
      <c r="S244" s="161"/>
      <c r="T244" s="168"/>
      <c r="U244" s="165"/>
      <c r="V244" s="166">
        <v>2024.0</v>
      </c>
      <c r="W244" s="161" t="s">
        <v>1052</v>
      </c>
      <c r="X244" s="365">
        <v>750000.0</v>
      </c>
      <c r="Y244" s="161" t="s">
        <v>1053</v>
      </c>
      <c r="Z244" s="168" t="s">
        <v>1054</v>
      </c>
      <c r="AA244" s="333"/>
    </row>
    <row r="245">
      <c r="A245" s="111">
        <v>286.0</v>
      </c>
      <c r="B245" s="172" t="s">
        <v>144</v>
      </c>
      <c r="C245" s="173" t="s">
        <v>343</v>
      </c>
      <c r="D245" s="115"/>
      <c r="E245" s="173" t="s">
        <v>208</v>
      </c>
      <c r="F245" s="173" t="s">
        <v>263</v>
      </c>
      <c r="G245" s="174" t="s">
        <v>280</v>
      </c>
      <c r="H245" s="174">
        <v>2024.0</v>
      </c>
      <c r="I245" s="174">
        <v>2027.0</v>
      </c>
      <c r="J245" s="329" t="s">
        <v>1055</v>
      </c>
      <c r="K245" s="175">
        <v>-0.2</v>
      </c>
      <c r="L245" s="174" t="s">
        <v>263</v>
      </c>
      <c r="M245" s="330">
        <v>2024.0</v>
      </c>
      <c r="N245" s="178" t="s">
        <v>1054</v>
      </c>
      <c r="O245" s="331"/>
      <c r="P245" s="176">
        <v>2018.0</v>
      </c>
      <c r="Q245" s="174" t="s">
        <v>1056</v>
      </c>
      <c r="R245" s="174" t="s">
        <v>1056</v>
      </c>
      <c r="S245" s="174" t="s">
        <v>1057</v>
      </c>
      <c r="T245" s="178" t="s">
        <v>912</v>
      </c>
      <c r="U245" s="331"/>
      <c r="V245" s="176">
        <v>2024.0</v>
      </c>
      <c r="W245" s="174" t="s">
        <v>1058</v>
      </c>
      <c r="X245" s="332">
        <v>-0.05</v>
      </c>
      <c r="Y245" s="174" t="s">
        <v>1059</v>
      </c>
      <c r="Z245" s="178" t="s">
        <v>1054</v>
      </c>
      <c r="AA245" s="182" t="s">
        <v>1060</v>
      </c>
    </row>
    <row r="246">
      <c r="A246" s="111">
        <v>287.0</v>
      </c>
      <c r="B246" s="280" t="s">
        <v>152</v>
      </c>
      <c r="C246" s="281" t="s">
        <v>207</v>
      </c>
      <c r="D246" s="232"/>
      <c r="E246" s="313" t="s">
        <v>231</v>
      </c>
      <c r="F246" s="282" t="s">
        <v>263</v>
      </c>
      <c r="G246" s="161" t="s">
        <v>280</v>
      </c>
      <c r="H246" s="283">
        <v>2009.0</v>
      </c>
      <c r="I246" s="284">
        <v>2015.0</v>
      </c>
      <c r="J246" s="285" t="s">
        <v>1061</v>
      </c>
      <c r="K246" s="315">
        <v>-0.5</v>
      </c>
      <c r="L246" s="286" t="s">
        <v>693</v>
      </c>
      <c r="M246" s="287">
        <v>2009.0</v>
      </c>
      <c r="N246" s="288" t="s">
        <v>1062</v>
      </c>
      <c r="O246" s="220" t="s">
        <v>1063</v>
      </c>
      <c r="P246" s="366">
        <v>2005.0</v>
      </c>
      <c r="Q246" s="275"/>
      <c r="R246" s="275"/>
      <c r="S246" s="275"/>
      <c r="T246" s="275"/>
      <c r="U246" s="290"/>
      <c r="V246" s="215">
        <v>2015.0</v>
      </c>
      <c r="W246" s="285" t="s">
        <v>1064</v>
      </c>
      <c r="X246" s="367">
        <v>-0.56</v>
      </c>
      <c r="Y246" s="286" t="s">
        <v>1065</v>
      </c>
      <c r="Z246" s="368" t="s">
        <v>1066</v>
      </c>
      <c r="AA246" s="369" t="s">
        <v>1067</v>
      </c>
    </row>
    <row r="247">
      <c r="A247" s="111">
        <v>288.0</v>
      </c>
      <c r="B247" s="291" t="s">
        <v>152</v>
      </c>
      <c r="C247" s="292" t="s">
        <v>219</v>
      </c>
      <c r="D247" s="232"/>
      <c r="E247" s="309" t="s">
        <v>231</v>
      </c>
      <c r="F247" s="293" t="s">
        <v>244</v>
      </c>
      <c r="G247" s="325"/>
      <c r="H247" s="294">
        <v>2009.0</v>
      </c>
      <c r="I247" s="295">
        <v>2015.0</v>
      </c>
      <c r="J247" s="296" t="s">
        <v>1068</v>
      </c>
      <c r="K247" s="297">
        <v>-0.5</v>
      </c>
      <c r="L247" s="298" t="s">
        <v>1069</v>
      </c>
      <c r="M247" s="299">
        <v>2009.0</v>
      </c>
      <c r="N247" s="300" t="s">
        <v>1062</v>
      </c>
      <c r="O247" s="301" t="s">
        <v>1070</v>
      </c>
      <c r="P247" s="319">
        <v>2005.0</v>
      </c>
      <c r="Q247" s="303"/>
      <c r="R247" s="298">
        <v>29.1</v>
      </c>
      <c r="S247" s="298" t="s">
        <v>1071</v>
      </c>
      <c r="T247" s="300" t="s">
        <v>1062</v>
      </c>
      <c r="U247" s="301" t="s">
        <v>1070</v>
      </c>
      <c r="V247" s="320">
        <v>2016.0</v>
      </c>
      <c r="W247" s="321" t="s">
        <v>1072</v>
      </c>
      <c r="X247" s="322">
        <v>-0.35</v>
      </c>
      <c r="Y247" s="298" t="s">
        <v>1073</v>
      </c>
      <c r="Z247" s="308" t="s">
        <v>1074</v>
      </c>
      <c r="AA247" s="323" t="s">
        <v>1075</v>
      </c>
    </row>
    <row r="248">
      <c r="A248" s="111">
        <v>289.0</v>
      </c>
      <c r="B248" s="280" t="s">
        <v>152</v>
      </c>
      <c r="C248" s="281" t="s">
        <v>219</v>
      </c>
      <c r="D248" s="232"/>
      <c r="E248" s="313" t="s">
        <v>208</v>
      </c>
      <c r="F248" s="282" t="s">
        <v>267</v>
      </c>
      <c r="G248" s="324"/>
      <c r="H248" s="283">
        <v>2009.0</v>
      </c>
      <c r="I248" s="284">
        <v>2015.0</v>
      </c>
      <c r="J248" s="285" t="s">
        <v>1076</v>
      </c>
      <c r="K248" s="315">
        <v>-0.5</v>
      </c>
      <c r="L248" s="286" t="s">
        <v>1077</v>
      </c>
      <c r="M248" s="287">
        <v>2009.0</v>
      </c>
      <c r="N248" s="288" t="s">
        <v>1062</v>
      </c>
      <c r="O248" s="220" t="s">
        <v>1063</v>
      </c>
      <c r="P248" s="366">
        <v>2005.0</v>
      </c>
      <c r="Q248" s="275"/>
      <c r="R248" s="286">
        <v>0.624</v>
      </c>
      <c r="S248" s="286" t="s">
        <v>1078</v>
      </c>
      <c r="T248" s="288" t="s">
        <v>1062</v>
      </c>
      <c r="U248" s="370" t="s">
        <v>1079</v>
      </c>
      <c r="V248" s="215">
        <v>2016.0</v>
      </c>
      <c r="W248" s="285" t="s">
        <v>1080</v>
      </c>
      <c r="X248" s="367">
        <v>-0.48</v>
      </c>
      <c r="Y248" s="286" t="s">
        <v>1081</v>
      </c>
      <c r="Z248" s="368" t="s">
        <v>1074</v>
      </c>
      <c r="AA248" s="369" t="s">
        <v>1075</v>
      </c>
    </row>
    <row r="249">
      <c r="A249" s="111">
        <v>290.0</v>
      </c>
      <c r="B249" s="291" t="s">
        <v>152</v>
      </c>
      <c r="C249" s="292" t="s">
        <v>219</v>
      </c>
      <c r="D249" s="232"/>
      <c r="E249" s="309" t="s">
        <v>383</v>
      </c>
      <c r="F249" s="293" t="s">
        <v>220</v>
      </c>
      <c r="G249" s="325"/>
      <c r="H249" s="294">
        <v>2013.0</v>
      </c>
      <c r="I249" s="295">
        <v>2020.0</v>
      </c>
      <c r="J249" s="296" t="s">
        <v>1082</v>
      </c>
      <c r="K249" s="297">
        <v>1.0</v>
      </c>
      <c r="L249" s="298" t="s">
        <v>693</v>
      </c>
      <c r="M249" s="299">
        <v>2013.0</v>
      </c>
      <c r="N249" s="300" t="s">
        <v>1083</v>
      </c>
      <c r="O249" s="301" t="s">
        <v>1075</v>
      </c>
      <c r="P249" s="302"/>
      <c r="Q249" s="303"/>
      <c r="R249" s="303"/>
      <c r="S249" s="303"/>
      <c r="T249" s="303"/>
      <c r="U249" s="304"/>
      <c r="V249" s="320">
        <v>2020.0</v>
      </c>
      <c r="W249" s="321" t="s">
        <v>1082</v>
      </c>
      <c r="X249" s="322">
        <v>0.96</v>
      </c>
      <c r="Y249" s="298" t="s">
        <v>1084</v>
      </c>
      <c r="Z249" s="308" t="s">
        <v>1085</v>
      </c>
      <c r="AA249" s="323" t="s">
        <v>1086</v>
      </c>
    </row>
    <row r="250">
      <c r="A250" s="111">
        <v>291.0</v>
      </c>
      <c r="B250" s="280" t="s">
        <v>152</v>
      </c>
      <c r="C250" s="281" t="s">
        <v>207</v>
      </c>
      <c r="D250" s="232"/>
      <c r="E250" s="313" t="s">
        <v>231</v>
      </c>
      <c r="F250" s="282" t="s">
        <v>263</v>
      </c>
      <c r="G250" s="161" t="s">
        <v>280</v>
      </c>
      <c r="H250" s="283">
        <v>2013.0</v>
      </c>
      <c r="I250" s="284">
        <v>2020.0</v>
      </c>
      <c r="J250" s="285" t="s">
        <v>1087</v>
      </c>
      <c r="K250" s="315">
        <v>-0.6</v>
      </c>
      <c r="L250" s="286" t="s">
        <v>693</v>
      </c>
      <c r="M250" s="287">
        <v>2013.0</v>
      </c>
      <c r="N250" s="288" t="s">
        <v>1083</v>
      </c>
      <c r="O250" s="220" t="s">
        <v>1088</v>
      </c>
      <c r="P250" s="366">
        <v>2005.0</v>
      </c>
      <c r="Q250" s="275"/>
      <c r="R250" s="275"/>
      <c r="S250" s="286" t="s">
        <v>693</v>
      </c>
      <c r="T250" s="286" t="s">
        <v>1083</v>
      </c>
      <c r="U250" s="370" t="s">
        <v>1089</v>
      </c>
      <c r="V250" s="215">
        <v>2020.0</v>
      </c>
      <c r="W250" s="285" t="s">
        <v>1087</v>
      </c>
      <c r="X250" s="367">
        <v>-0.81</v>
      </c>
      <c r="Y250" s="286" t="s">
        <v>1065</v>
      </c>
      <c r="Z250" s="368" t="s">
        <v>1085</v>
      </c>
      <c r="AA250" s="369" t="s">
        <v>1086</v>
      </c>
    </row>
    <row r="251">
      <c r="A251" s="111">
        <v>292.0</v>
      </c>
      <c r="B251" s="291" t="s">
        <v>152</v>
      </c>
      <c r="C251" s="292" t="s">
        <v>219</v>
      </c>
      <c r="D251" s="232"/>
      <c r="E251" s="309" t="s">
        <v>208</v>
      </c>
      <c r="F251" s="293" t="s">
        <v>267</v>
      </c>
      <c r="G251" s="325"/>
      <c r="H251" s="294">
        <v>2013.0</v>
      </c>
      <c r="I251" s="295">
        <v>2020.0</v>
      </c>
      <c r="J251" s="296" t="s">
        <v>1090</v>
      </c>
      <c r="K251" s="297">
        <v>-0.6</v>
      </c>
      <c r="L251" s="298" t="s">
        <v>693</v>
      </c>
      <c r="M251" s="299">
        <v>2013.0</v>
      </c>
      <c r="N251" s="300" t="s">
        <v>1083</v>
      </c>
      <c r="O251" s="301" t="s">
        <v>1088</v>
      </c>
      <c r="P251" s="319">
        <v>2005.0</v>
      </c>
      <c r="Q251" s="303"/>
      <c r="R251" s="303"/>
      <c r="S251" s="298" t="s">
        <v>693</v>
      </c>
      <c r="T251" s="298" t="s">
        <v>1083</v>
      </c>
      <c r="U251" s="371" t="s">
        <v>1089</v>
      </c>
      <c r="V251" s="320">
        <v>2020.0</v>
      </c>
      <c r="W251" s="296" t="s">
        <v>1090</v>
      </c>
      <c r="X251" s="322">
        <v>-0.49</v>
      </c>
      <c r="Y251" s="298" t="s">
        <v>1081</v>
      </c>
      <c r="Z251" s="308" t="s">
        <v>1085</v>
      </c>
      <c r="AA251" s="323" t="s">
        <v>1091</v>
      </c>
    </row>
    <row r="252">
      <c r="A252" s="111">
        <v>293.0</v>
      </c>
      <c r="B252" s="280" t="s">
        <v>152</v>
      </c>
      <c r="C252" s="281" t="s">
        <v>219</v>
      </c>
      <c r="D252" s="232"/>
      <c r="E252" s="313" t="s">
        <v>231</v>
      </c>
      <c r="F252" s="282" t="s">
        <v>244</v>
      </c>
      <c r="G252" s="324"/>
      <c r="H252" s="283">
        <v>2013.0</v>
      </c>
      <c r="I252" s="284">
        <v>2020.0</v>
      </c>
      <c r="J252" s="285" t="s">
        <v>1092</v>
      </c>
      <c r="K252" s="315">
        <v>-0.6</v>
      </c>
      <c r="L252" s="286" t="s">
        <v>693</v>
      </c>
      <c r="M252" s="287">
        <v>2013.0</v>
      </c>
      <c r="N252" s="288" t="s">
        <v>1083</v>
      </c>
      <c r="O252" s="220" t="s">
        <v>1088</v>
      </c>
      <c r="P252" s="366">
        <v>2005.0</v>
      </c>
      <c r="Q252" s="275"/>
      <c r="R252" s="275"/>
      <c r="S252" s="286" t="s">
        <v>693</v>
      </c>
      <c r="T252" s="286" t="s">
        <v>1083</v>
      </c>
      <c r="U252" s="370" t="s">
        <v>1089</v>
      </c>
      <c r="V252" s="215">
        <v>2020.0</v>
      </c>
      <c r="W252" s="216" t="s">
        <v>1092</v>
      </c>
      <c r="X252" s="367">
        <v>-0.37</v>
      </c>
      <c r="Y252" s="286" t="s">
        <v>1073</v>
      </c>
      <c r="Z252" s="368" t="s">
        <v>1085</v>
      </c>
      <c r="AA252" s="369" t="s">
        <v>1091</v>
      </c>
    </row>
    <row r="253">
      <c r="A253" s="111">
        <v>294.0</v>
      </c>
      <c r="B253" s="291" t="s">
        <v>152</v>
      </c>
      <c r="C253" s="292" t="s">
        <v>207</v>
      </c>
      <c r="D253" s="232"/>
      <c r="E253" s="309" t="s">
        <v>383</v>
      </c>
      <c r="F253" s="282" t="s">
        <v>244</v>
      </c>
      <c r="G253" s="325"/>
      <c r="H253" s="294">
        <v>2013.0</v>
      </c>
      <c r="I253" s="295">
        <v>2020.0</v>
      </c>
      <c r="J253" s="296" t="s">
        <v>1093</v>
      </c>
      <c r="K253" s="297">
        <v>0.0</v>
      </c>
      <c r="L253" s="298" t="s">
        <v>693</v>
      </c>
      <c r="M253" s="299">
        <v>2013.0</v>
      </c>
      <c r="N253" s="300" t="s">
        <v>1083</v>
      </c>
      <c r="O253" s="301" t="s">
        <v>1075</v>
      </c>
      <c r="P253" s="302"/>
      <c r="Q253" s="303"/>
      <c r="R253" s="303"/>
      <c r="S253" s="303"/>
      <c r="T253" s="303"/>
      <c r="U253" s="304"/>
      <c r="V253" s="320">
        <v>2020.0</v>
      </c>
      <c r="W253" s="321" t="s">
        <v>1093</v>
      </c>
      <c r="X253" s="321">
        <v>0.0</v>
      </c>
      <c r="Y253" s="298" t="s">
        <v>1094</v>
      </c>
      <c r="Z253" s="308" t="s">
        <v>1085</v>
      </c>
      <c r="AA253" s="323" t="s">
        <v>1086</v>
      </c>
    </row>
    <row r="254">
      <c r="A254" s="111">
        <v>295.0</v>
      </c>
      <c r="B254" s="280" t="s">
        <v>152</v>
      </c>
      <c r="C254" s="281" t="s">
        <v>207</v>
      </c>
      <c r="D254" s="232"/>
      <c r="E254" s="313" t="s">
        <v>231</v>
      </c>
      <c r="F254" s="282" t="s">
        <v>263</v>
      </c>
      <c r="G254" s="161" t="s">
        <v>264</v>
      </c>
      <c r="H254" s="283">
        <v>2013.0</v>
      </c>
      <c r="I254" s="284">
        <v>2020.0</v>
      </c>
      <c r="J254" s="285" t="s">
        <v>1095</v>
      </c>
      <c r="K254" s="315">
        <v>-0.2</v>
      </c>
      <c r="L254" s="286" t="s">
        <v>693</v>
      </c>
      <c r="M254" s="287">
        <v>2013.0</v>
      </c>
      <c r="N254" s="288" t="s">
        <v>1083</v>
      </c>
      <c r="O254" s="220" t="s">
        <v>1075</v>
      </c>
      <c r="P254" s="366">
        <v>2011.0</v>
      </c>
      <c r="Q254" s="275"/>
      <c r="R254" s="275"/>
      <c r="S254" s="286" t="s">
        <v>693</v>
      </c>
      <c r="T254" s="286" t="s">
        <v>1083</v>
      </c>
      <c r="U254" s="370" t="s">
        <v>1089</v>
      </c>
      <c r="V254" s="215">
        <v>2020.0</v>
      </c>
      <c r="W254" s="216" t="s">
        <v>1095</v>
      </c>
      <c r="X254" s="367">
        <v>-0.24</v>
      </c>
      <c r="Y254" s="286" t="s">
        <v>1096</v>
      </c>
      <c r="Z254" s="368" t="s">
        <v>1085</v>
      </c>
      <c r="AA254" s="369" t="s">
        <v>1086</v>
      </c>
    </row>
    <row r="255">
      <c r="A255" s="111">
        <v>304.0</v>
      </c>
      <c r="B255" s="291" t="s">
        <v>152</v>
      </c>
      <c r="C255" s="292" t="s">
        <v>343</v>
      </c>
      <c r="D255" s="232"/>
      <c r="E255" s="309" t="s">
        <v>208</v>
      </c>
      <c r="F255" s="293" t="s">
        <v>263</v>
      </c>
      <c r="G255" s="174" t="s">
        <v>264</v>
      </c>
      <c r="H255" s="372">
        <v>2020.0</v>
      </c>
      <c r="I255" s="295">
        <v>2030.0</v>
      </c>
      <c r="J255" s="296" t="s">
        <v>1097</v>
      </c>
      <c r="K255" s="297">
        <v>0.5</v>
      </c>
      <c r="L255" s="298" t="s">
        <v>693</v>
      </c>
      <c r="M255" s="373">
        <v>2020.0</v>
      </c>
      <c r="N255" s="374" t="s">
        <v>1098</v>
      </c>
      <c r="O255" s="301" t="s">
        <v>1099</v>
      </c>
      <c r="P255" s="319">
        <v>2016.0</v>
      </c>
      <c r="Q255" s="303"/>
      <c r="R255" s="303"/>
      <c r="S255" s="298" t="s">
        <v>693</v>
      </c>
      <c r="T255" s="374" t="s">
        <v>1098</v>
      </c>
      <c r="U255" s="371" t="s">
        <v>694</v>
      </c>
      <c r="V255" s="305"/>
      <c r="W255" s="306"/>
      <c r="X255" s="306"/>
      <c r="Y255" s="303"/>
      <c r="Z255" s="311"/>
      <c r="AA255" s="312"/>
    </row>
    <row r="256">
      <c r="A256" s="111">
        <v>305.0</v>
      </c>
      <c r="B256" s="280" t="s">
        <v>152</v>
      </c>
      <c r="C256" s="281" t="s">
        <v>343</v>
      </c>
      <c r="D256" s="232"/>
      <c r="E256" s="313" t="s">
        <v>208</v>
      </c>
      <c r="F256" s="282" t="s">
        <v>263</v>
      </c>
      <c r="G256" s="161" t="s">
        <v>264</v>
      </c>
      <c r="H256" s="375">
        <v>2020.0</v>
      </c>
      <c r="I256" s="284">
        <v>2030.0</v>
      </c>
      <c r="J256" s="285" t="s">
        <v>1100</v>
      </c>
      <c r="K256" s="315">
        <v>0.25</v>
      </c>
      <c r="L256" s="286" t="s">
        <v>693</v>
      </c>
      <c r="M256" s="376">
        <v>2020.0</v>
      </c>
      <c r="N256" s="377" t="s">
        <v>1098</v>
      </c>
      <c r="O256" s="220" t="s">
        <v>1099</v>
      </c>
      <c r="P256" s="366">
        <v>2016.0</v>
      </c>
      <c r="Q256" s="275"/>
      <c r="R256" s="275"/>
      <c r="S256" s="286" t="s">
        <v>693</v>
      </c>
      <c r="T256" s="377" t="s">
        <v>1098</v>
      </c>
      <c r="U256" s="370" t="s">
        <v>694</v>
      </c>
      <c r="V256" s="273"/>
      <c r="W256" s="274"/>
      <c r="X256" s="274"/>
      <c r="Y256" s="275"/>
      <c r="Z256" s="316"/>
      <c r="AA256" s="317"/>
    </row>
    <row r="257">
      <c r="A257" s="111">
        <v>306.0</v>
      </c>
      <c r="B257" s="291" t="s">
        <v>152</v>
      </c>
      <c r="C257" s="292" t="s">
        <v>343</v>
      </c>
      <c r="D257" s="232"/>
      <c r="E257" s="252" t="s">
        <v>208</v>
      </c>
      <c r="F257" s="293" t="s">
        <v>263</v>
      </c>
      <c r="G257" s="161" t="s">
        <v>264</v>
      </c>
      <c r="H257" s="372">
        <v>2020.0</v>
      </c>
      <c r="I257" s="295">
        <v>2030.0</v>
      </c>
      <c r="J257" s="296" t="s">
        <v>1101</v>
      </c>
      <c r="K257" s="297">
        <v>0.5</v>
      </c>
      <c r="L257" s="298" t="s">
        <v>693</v>
      </c>
      <c r="M257" s="373">
        <v>2020.0</v>
      </c>
      <c r="N257" s="374" t="s">
        <v>1098</v>
      </c>
      <c r="O257" s="301" t="s">
        <v>1099</v>
      </c>
      <c r="P257" s="319">
        <v>2016.0</v>
      </c>
      <c r="Q257" s="303"/>
      <c r="R257" s="303"/>
      <c r="S257" s="298" t="s">
        <v>693</v>
      </c>
      <c r="T257" s="374" t="s">
        <v>1098</v>
      </c>
      <c r="U257" s="371" t="s">
        <v>694</v>
      </c>
      <c r="V257" s="305"/>
      <c r="W257" s="306"/>
      <c r="X257" s="306"/>
      <c r="Y257" s="303"/>
      <c r="Z257" s="311"/>
      <c r="AA257" s="312"/>
    </row>
    <row r="258">
      <c r="A258" s="111">
        <v>307.0</v>
      </c>
      <c r="B258" s="280" t="s">
        <v>152</v>
      </c>
      <c r="C258" s="281" t="s">
        <v>343</v>
      </c>
      <c r="D258" s="232"/>
      <c r="E258" s="313" t="s">
        <v>208</v>
      </c>
      <c r="F258" s="282" t="s">
        <v>263</v>
      </c>
      <c r="G258" s="161" t="s">
        <v>280</v>
      </c>
      <c r="H258" s="375">
        <v>2020.0</v>
      </c>
      <c r="I258" s="284">
        <v>2030.0</v>
      </c>
      <c r="J258" s="285" t="s">
        <v>1102</v>
      </c>
      <c r="K258" s="315">
        <v>0.5</v>
      </c>
      <c r="L258" s="286" t="s">
        <v>693</v>
      </c>
      <c r="M258" s="376">
        <v>2020.0</v>
      </c>
      <c r="N258" s="377" t="s">
        <v>1098</v>
      </c>
      <c r="O258" s="220" t="s">
        <v>1099</v>
      </c>
      <c r="P258" s="366">
        <v>2016.0</v>
      </c>
      <c r="Q258" s="275"/>
      <c r="R258" s="275"/>
      <c r="S258" s="286" t="s">
        <v>693</v>
      </c>
      <c r="T258" s="377" t="s">
        <v>1098</v>
      </c>
      <c r="U258" s="370" t="s">
        <v>694</v>
      </c>
      <c r="V258" s="273"/>
      <c r="W258" s="274"/>
      <c r="X258" s="274"/>
      <c r="Y258" s="275"/>
      <c r="Z258" s="311"/>
      <c r="AA258" s="312"/>
    </row>
    <row r="259">
      <c r="A259" s="111">
        <v>308.0</v>
      </c>
      <c r="B259" s="378" t="s">
        <v>152</v>
      </c>
      <c r="C259" s="379" t="s">
        <v>343</v>
      </c>
      <c r="D259" s="380"/>
      <c r="E259" s="381" t="s">
        <v>231</v>
      </c>
      <c r="F259" s="382" t="s">
        <v>258</v>
      </c>
      <c r="G259" s="174" t="s">
        <v>494</v>
      </c>
      <c r="H259" s="294">
        <v>2020.0</v>
      </c>
      <c r="I259" s="383">
        <v>2025.0</v>
      </c>
      <c r="J259" s="296" t="s">
        <v>1103</v>
      </c>
      <c r="K259" s="384">
        <v>1.0</v>
      </c>
      <c r="L259" s="385" t="s">
        <v>693</v>
      </c>
      <c r="M259" s="373">
        <v>2020.0</v>
      </c>
      <c r="N259" s="374" t="s">
        <v>1098</v>
      </c>
      <c r="O259" s="386" t="s">
        <v>1099</v>
      </c>
      <c r="P259" s="387"/>
      <c r="Q259" s="388"/>
      <c r="R259" s="388"/>
      <c r="S259" s="388"/>
      <c r="T259" s="388"/>
      <c r="U259" s="389"/>
      <c r="V259" s="390"/>
      <c r="W259" s="391"/>
      <c r="X259" s="391"/>
      <c r="Y259" s="388"/>
      <c r="Z259" s="392"/>
      <c r="AA259" s="393"/>
    </row>
    <row r="260">
      <c r="A260" s="111">
        <v>309.0</v>
      </c>
      <c r="B260" s="280" t="s">
        <v>152</v>
      </c>
      <c r="C260" s="281" t="s">
        <v>343</v>
      </c>
      <c r="D260" s="232"/>
      <c r="E260" s="313" t="s">
        <v>383</v>
      </c>
      <c r="F260" s="234" t="s">
        <v>720</v>
      </c>
      <c r="G260" s="324"/>
      <c r="H260" s="375">
        <v>2020.0</v>
      </c>
      <c r="I260" s="284">
        <v>2030.0</v>
      </c>
      <c r="J260" s="285" t="s">
        <v>1104</v>
      </c>
      <c r="K260" s="315">
        <v>1.0</v>
      </c>
      <c r="L260" s="286" t="s">
        <v>693</v>
      </c>
      <c r="M260" s="376">
        <v>2020.0</v>
      </c>
      <c r="N260" s="377" t="s">
        <v>1098</v>
      </c>
      <c r="O260" s="220" t="s">
        <v>1099</v>
      </c>
      <c r="P260" s="289"/>
      <c r="Q260" s="275"/>
      <c r="R260" s="275"/>
      <c r="S260" s="275"/>
      <c r="T260" s="275"/>
      <c r="U260" s="290"/>
      <c r="V260" s="273"/>
      <c r="W260" s="274"/>
      <c r="X260" s="274"/>
      <c r="Y260" s="275"/>
      <c r="Z260" s="311"/>
      <c r="AA260" s="312"/>
    </row>
    <row r="261">
      <c r="A261" s="111">
        <v>310.0</v>
      </c>
      <c r="B261" s="291" t="s">
        <v>152</v>
      </c>
      <c r="C261" s="292" t="s">
        <v>343</v>
      </c>
      <c r="D261" s="232"/>
      <c r="E261" s="309" t="s">
        <v>208</v>
      </c>
      <c r="F261" s="234" t="s">
        <v>267</v>
      </c>
      <c r="G261" s="394"/>
      <c r="H261" s="372">
        <v>2020.0</v>
      </c>
      <c r="I261" s="295">
        <v>2030.0</v>
      </c>
      <c r="J261" s="296" t="s">
        <v>1105</v>
      </c>
      <c r="K261" s="297">
        <v>0.25</v>
      </c>
      <c r="L261" s="298" t="s">
        <v>693</v>
      </c>
      <c r="M261" s="373">
        <v>2020.0</v>
      </c>
      <c r="N261" s="374" t="s">
        <v>1098</v>
      </c>
      <c r="O261" s="301" t="s">
        <v>1099</v>
      </c>
      <c r="P261" s="319">
        <v>2016.0</v>
      </c>
      <c r="Q261" s="303"/>
      <c r="R261" s="303"/>
      <c r="S261" s="298" t="s">
        <v>693</v>
      </c>
      <c r="T261" s="374" t="s">
        <v>1098</v>
      </c>
      <c r="U261" s="371" t="s">
        <v>694</v>
      </c>
      <c r="V261" s="305"/>
      <c r="W261" s="306"/>
      <c r="X261" s="306"/>
      <c r="Y261" s="275"/>
      <c r="Z261" s="311"/>
      <c r="AA261" s="312"/>
    </row>
    <row r="262">
      <c r="A262" s="111">
        <v>311.0</v>
      </c>
      <c r="B262" s="280" t="s">
        <v>152</v>
      </c>
      <c r="C262" s="281" t="s">
        <v>343</v>
      </c>
      <c r="D262" s="232"/>
      <c r="E262" s="313" t="s">
        <v>208</v>
      </c>
      <c r="F262" s="234" t="s">
        <v>267</v>
      </c>
      <c r="G262" s="324"/>
      <c r="H262" s="375">
        <v>2020.0</v>
      </c>
      <c r="I262" s="284">
        <v>2030.0</v>
      </c>
      <c r="J262" s="285" t="s">
        <v>1106</v>
      </c>
      <c r="K262" s="315">
        <v>1.0</v>
      </c>
      <c r="L262" s="286" t="s">
        <v>693</v>
      </c>
      <c r="M262" s="376">
        <v>2020.0</v>
      </c>
      <c r="N262" s="377" t="s">
        <v>1098</v>
      </c>
      <c r="O262" s="220" t="s">
        <v>1099</v>
      </c>
      <c r="P262" s="289"/>
      <c r="Q262" s="275"/>
      <c r="R262" s="275"/>
      <c r="S262" s="275"/>
      <c r="T262" s="275"/>
      <c r="U262" s="290"/>
      <c r="V262" s="273"/>
      <c r="W262" s="274"/>
      <c r="X262" s="274"/>
      <c r="Y262" s="275"/>
      <c r="Z262" s="311"/>
      <c r="AA262" s="312"/>
    </row>
    <row r="263">
      <c r="A263" s="111">
        <v>313.0</v>
      </c>
      <c r="B263" s="280" t="s">
        <v>152</v>
      </c>
      <c r="C263" s="281" t="s">
        <v>343</v>
      </c>
      <c r="D263" s="232"/>
      <c r="E263" s="313" t="s">
        <v>231</v>
      </c>
      <c r="F263" s="282" t="s">
        <v>220</v>
      </c>
      <c r="G263" s="324"/>
      <c r="H263" s="375">
        <v>2020.0</v>
      </c>
      <c r="I263" s="284">
        <v>2030.0</v>
      </c>
      <c r="J263" s="285" t="s">
        <v>1107</v>
      </c>
      <c r="K263" s="315">
        <v>0.95</v>
      </c>
      <c r="L263" s="286" t="s">
        <v>693</v>
      </c>
      <c r="M263" s="376">
        <v>2020.0</v>
      </c>
      <c r="N263" s="377" t="s">
        <v>1098</v>
      </c>
      <c r="O263" s="220" t="s">
        <v>1099</v>
      </c>
      <c r="P263" s="289"/>
      <c r="Q263" s="275"/>
      <c r="R263" s="275"/>
      <c r="S263" s="275"/>
      <c r="T263" s="275"/>
      <c r="U263" s="290"/>
      <c r="V263" s="273"/>
      <c r="W263" s="274"/>
      <c r="X263" s="274"/>
      <c r="Y263" s="275"/>
      <c r="Z263" s="311"/>
      <c r="AA263" s="312"/>
    </row>
    <row r="264">
      <c r="A264" s="111">
        <v>314.0</v>
      </c>
      <c r="B264" s="291" t="s">
        <v>152</v>
      </c>
      <c r="C264" s="292" t="s">
        <v>343</v>
      </c>
      <c r="D264" s="232"/>
      <c r="E264" s="309" t="s">
        <v>208</v>
      </c>
      <c r="F264" s="282" t="s">
        <v>244</v>
      </c>
      <c r="G264" s="325"/>
      <c r="H264" s="372">
        <v>2020.0</v>
      </c>
      <c r="I264" s="295">
        <v>2030.0</v>
      </c>
      <c r="J264" s="296" t="s">
        <v>1108</v>
      </c>
      <c r="K264" s="297">
        <v>0.2</v>
      </c>
      <c r="L264" s="298" t="s">
        <v>693</v>
      </c>
      <c r="M264" s="373">
        <v>2020.0</v>
      </c>
      <c r="N264" s="374" t="s">
        <v>1098</v>
      </c>
      <c r="O264" s="301" t="s">
        <v>1099</v>
      </c>
      <c r="P264" s="319">
        <v>2019.0</v>
      </c>
      <c r="Q264" s="303"/>
      <c r="R264" s="303"/>
      <c r="S264" s="298" t="s">
        <v>693</v>
      </c>
      <c r="T264" s="374" t="s">
        <v>1098</v>
      </c>
      <c r="U264" s="371" t="s">
        <v>694</v>
      </c>
      <c r="V264" s="305"/>
      <c r="W264" s="306"/>
      <c r="X264" s="306"/>
      <c r="Y264" s="303"/>
      <c r="Z264" s="311"/>
      <c r="AA264" s="312"/>
    </row>
    <row r="265">
      <c r="A265" s="111">
        <v>315.0</v>
      </c>
      <c r="B265" s="280" t="s">
        <v>152</v>
      </c>
      <c r="C265" s="281" t="s">
        <v>343</v>
      </c>
      <c r="D265" s="232"/>
      <c r="E265" s="313" t="s">
        <v>231</v>
      </c>
      <c r="F265" s="282" t="s">
        <v>220</v>
      </c>
      <c r="G265" s="324"/>
      <c r="H265" s="375">
        <v>2020.0</v>
      </c>
      <c r="I265" s="284">
        <v>2025.0</v>
      </c>
      <c r="J265" s="285" t="s">
        <v>1109</v>
      </c>
      <c r="K265" s="315">
        <v>0.5</v>
      </c>
      <c r="L265" s="286" t="s">
        <v>693</v>
      </c>
      <c r="M265" s="376">
        <v>2020.0</v>
      </c>
      <c r="N265" s="377" t="s">
        <v>1098</v>
      </c>
      <c r="O265" s="220" t="s">
        <v>1099</v>
      </c>
      <c r="P265" s="289"/>
      <c r="Q265" s="275"/>
      <c r="R265" s="275"/>
      <c r="S265" s="275"/>
      <c r="T265" s="275"/>
      <c r="U265" s="290"/>
      <c r="V265" s="273"/>
      <c r="W265" s="274"/>
      <c r="X265" s="274"/>
      <c r="Y265" s="275"/>
      <c r="Z265" s="311"/>
      <c r="AA265" s="312"/>
    </row>
    <row r="266">
      <c r="A266" s="111">
        <v>316.0</v>
      </c>
      <c r="B266" s="291" t="s">
        <v>152</v>
      </c>
      <c r="C266" s="292" t="s">
        <v>343</v>
      </c>
      <c r="D266" s="232"/>
      <c r="E266" s="309" t="s">
        <v>231</v>
      </c>
      <c r="F266" s="293" t="s">
        <v>220</v>
      </c>
      <c r="G266" s="325"/>
      <c r="H266" s="372">
        <v>2020.0</v>
      </c>
      <c r="I266" s="295">
        <v>2030.0</v>
      </c>
      <c r="J266" s="296" t="s">
        <v>1110</v>
      </c>
      <c r="K266" s="297">
        <v>1.0</v>
      </c>
      <c r="L266" s="298" t="s">
        <v>693</v>
      </c>
      <c r="M266" s="373">
        <v>2020.0</v>
      </c>
      <c r="N266" s="374" t="s">
        <v>1098</v>
      </c>
      <c r="O266" s="301" t="s">
        <v>1099</v>
      </c>
      <c r="P266" s="302"/>
      <c r="Q266" s="303"/>
      <c r="R266" s="303"/>
      <c r="S266" s="303"/>
      <c r="T266" s="303"/>
      <c r="U266" s="304"/>
      <c r="V266" s="305"/>
      <c r="W266" s="306"/>
      <c r="X266" s="306"/>
      <c r="Y266" s="303"/>
      <c r="Z266" s="311"/>
      <c r="AA266" s="312"/>
    </row>
    <row r="267">
      <c r="A267" s="111">
        <v>317.0</v>
      </c>
      <c r="B267" s="280" t="s">
        <v>152</v>
      </c>
      <c r="C267" s="281" t="s">
        <v>343</v>
      </c>
      <c r="D267" s="232"/>
      <c r="E267" s="313" t="s">
        <v>231</v>
      </c>
      <c r="F267" s="282" t="s">
        <v>220</v>
      </c>
      <c r="G267" s="324"/>
      <c r="H267" s="375">
        <v>2020.0</v>
      </c>
      <c r="I267" s="284">
        <v>2025.0</v>
      </c>
      <c r="J267" s="285" t="s">
        <v>1111</v>
      </c>
      <c r="K267" s="315">
        <v>1.0</v>
      </c>
      <c r="L267" s="286" t="s">
        <v>693</v>
      </c>
      <c r="M267" s="376">
        <v>2020.0</v>
      </c>
      <c r="N267" s="377" t="s">
        <v>1098</v>
      </c>
      <c r="O267" s="220" t="s">
        <v>1099</v>
      </c>
      <c r="P267" s="289"/>
      <c r="Q267" s="275"/>
      <c r="R267" s="275"/>
      <c r="S267" s="275"/>
      <c r="T267" s="275"/>
      <c r="U267" s="290"/>
      <c r="V267" s="273"/>
      <c r="W267" s="274"/>
      <c r="X267" s="274"/>
      <c r="Y267" s="275"/>
      <c r="Z267" s="316"/>
      <c r="AA267" s="317"/>
    </row>
    <row r="268">
      <c r="A268" s="111">
        <v>320.0</v>
      </c>
      <c r="B268" s="291" t="s">
        <v>152</v>
      </c>
      <c r="C268" s="292" t="s">
        <v>343</v>
      </c>
      <c r="D268" s="232"/>
      <c r="E268" s="309" t="s">
        <v>231</v>
      </c>
      <c r="F268" s="293" t="s">
        <v>387</v>
      </c>
      <c r="G268" s="325"/>
      <c r="H268" s="372">
        <v>2020.0</v>
      </c>
      <c r="I268" s="295">
        <v>2025.0</v>
      </c>
      <c r="J268" s="296" t="s">
        <v>1112</v>
      </c>
      <c r="K268" s="297">
        <v>1.0</v>
      </c>
      <c r="L268" s="298" t="s">
        <v>693</v>
      </c>
      <c r="M268" s="373">
        <v>2020.0</v>
      </c>
      <c r="N268" s="374" t="s">
        <v>1098</v>
      </c>
      <c r="O268" s="301" t="s">
        <v>1099</v>
      </c>
      <c r="P268" s="302"/>
      <c r="Q268" s="303"/>
      <c r="R268" s="303"/>
      <c r="S268" s="303"/>
      <c r="T268" s="303"/>
      <c r="U268" s="304"/>
      <c r="V268" s="273"/>
      <c r="W268" s="306"/>
      <c r="X268" s="306"/>
      <c r="Y268" s="303"/>
      <c r="Z268" s="311"/>
      <c r="AA268" s="312"/>
    </row>
    <row r="269">
      <c r="A269" s="111">
        <v>321.0</v>
      </c>
      <c r="B269" s="280" t="s">
        <v>152</v>
      </c>
      <c r="C269" s="281" t="s">
        <v>343</v>
      </c>
      <c r="D269" s="232"/>
      <c r="E269" s="313" t="s">
        <v>231</v>
      </c>
      <c r="F269" s="282" t="s">
        <v>720</v>
      </c>
      <c r="G269" s="324"/>
      <c r="H269" s="375">
        <v>2020.0</v>
      </c>
      <c r="I269" s="284">
        <v>2030.0</v>
      </c>
      <c r="J269" s="285" t="s">
        <v>1113</v>
      </c>
      <c r="K269" s="286" t="s">
        <v>874</v>
      </c>
      <c r="L269" s="286" t="s">
        <v>874</v>
      </c>
      <c r="M269" s="376">
        <v>2020.0</v>
      </c>
      <c r="N269" s="377" t="s">
        <v>1098</v>
      </c>
      <c r="O269" s="220" t="s">
        <v>1099</v>
      </c>
      <c r="P269" s="366">
        <v>2019.0</v>
      </c>
      <c r="Q269" s="275"/>
      <c r="R269" s="275"/>
      <c r="S269" s="286" t="s">
        <v>874</v>
      </c>
      <c r="T269" s="377" t="s">
        <v>1098</v>
      </c>
      <c r="U269" s="370" t="s">
        <v>694</v>
      </c>
      <c r="V269" s="273"/>
      <c r="W269" s="274"/>
      <c r="X269" s="274"/>
      <c r="Y269" s="275"/>
      <c r="Z269" s="311"/>
      <c r="AA269" s="312"/>
    </row>
    <row r="270">
      <c r="A270" s="111">
        <v>322.0</v>
      </c>
      <c r="B270" s="291" t="s">
        <v>152</v>
      </c>
      <c r="C270" s="292" t="s">
        <v>343</v>
      </c>
      <c r="D270" s="232"/>
      <c r="E270" s="309" t="s">
        <v>231</v>
      </c>
      <c r="F270" s="293" t="s">
        <v>220</v>
      </c>
      <c r="G270" s="325"/>
      <c r="H270" s="372">
        <v>2020.0</v>
      </c>
      <c r="I270" s="295">
        <v>2030.0</v>
      </c>
      <c r="J270" s="296" t="s">
        <v>1114</v>
      </c>
      <c r="K270" s="297">
        <v>1.0</v>
      </c>
      <c r="L270" s="298" t="s">
        <v>693</v>
      </c>
      <c r="M270" s="373">
        <v>2020.0</v>
      </c>
      <c r="N270" s="374" t="s">
        <v>1098</v>
      </c>
      <c r="O270" s="301" t="s">
        <v>1099</v>
      </c>
      <c r="P270" s="302"/>
      <c r="Q270" s="303"/>
      <c r="R270" s="303"/>
      <c r="S270" s="303"/>
      <c r="T270" s="303"/>
      <c r="U270" s="304"/>
      <c r="V270" s="305"/>
      <c r="W270" s="306"/>
      <c r="X270" s="306"/>
      <c r="Y270" s="303"/>
      <c r="Z270" s="311"/>
      <c r="AA270" s="312"/>
    </row>
    <row r="271">
      <c r="A271" s="111">
        <v>323.0</v>
      </c>
      <c r="B271" s="280" t="s">
        <v>152</v>
      </c>
      <c r="C271" s="281" t="s">
        <v>343</v>
      </c>
      <c r="D271" s="232"/>
      <c r="E271" s="313" t="s">
        <v>383</v>
      </c>
      <c r="F271" s="282" t="s">
        <v>720</v>
      </c>
      <c r="G271" s="324"/>
      <c r="H271" s="375">
        <v>2020.0</v>
      </c>
      <c r="I271" s="284">
        <v>2030.0</v>
      </c>
      <c r="J271" s="285" t="s">
        <v>1115</v>
      </c>
      <c r="K271" s="315">
        <v>1.0</v>
      </c>
      <c r="L271" s="286" t="s">
        <v>693</v>
      </c>
      <c r="M271" s="376">
        <v>2020.0</v>
      </c>
      <c r="N271" s="377" t="s">
        <v>1098</v>
      </c>
      <c r="O271" s="220" t="s">
        <v>1099</v>
      </c>
      <c r="P271" s="366">
        <v>2019.0</v>
      </c>
      <c r="Q271" s="275"/>
      <c r="R271" s="275"/>
      <c r="S271" s="286" t="s">
        <v>693</v>
      </c>
      <c r="T271" s="377" t="s">
        <v>1098</v>
      </c>
      <c r="U271" s="370" t="s">
        <v>694</v>
      </c>
      <c r="V271" s="273"/>
      <c r="W271" s="274"/>
      <c r="X271" s="274"/>
      <c r="Y271" s="275"/>
      <c r="Z271" s="311"/>
      <c r="AA271" s="312"/>
    </row>
    <row r="272">
      <c r="A272" s="111">
        <v>324.0</v>
      </c>
      <c r="B272" s="291" t="s">
        <v>152</v>
      </c>
      <c r="C272" s="292" t="s">
        <v>343</v>
      </c>
      <c r="D272" s="232"/>
      <c r="E272" s="309" t="s">
        <v>231</v>
      </c>
      <c r="F272" s="293" t="s">
        <v>244</v>
      </c>
      <c r="G272" s="271"/>
      <c r="H272" s="372">
        <v>2020.0</v>
      </c>
      <c r="I272" s="295">
        <v>2030.0</v>
      </c>
      <c r="J272" s="296" t="s">
        <v>1116</v>
      </c>
      <c r="K272" s="297">
        <v>1.0</v>
      </c>
      <c r="L272" s="298" t="s">
        <v>693</v>
      </c>
      <c r="M272" s="373">
        <v>2020.0</v>
      </c>
      <c r="N272" s="374" t="s">
        <v>1098</v>
      </c>
      <c r="O272" s="301" t="s">
        <v>1099</v>
      </c>
      <c r="P272" s="302"/>
      <c r="Q272" s="303"/>
      <c r="R272" s="303"/>
      <c r="S272" s="303"/>
      <c r="T272" s="303"/>
      <c r="U272" s="304"/>
      <c r="V272" s="305"/>
      <c r="W272" s="306"/>
      <c r="X272" s="306"/>
      <c r="Y272" s="303"/>
      <c r="Z272" s="311"/>
      <c r="AA272" s="312"/>
    </row>
    <row r="273">
      <c r="A273" s="111">
        <v>325.0</v>
      </c>
      <c r="B273" s="280" t="s">
        <v>152</v>
      </c>
      <c r="C273" s="281" t="s">
        <v>343</v>
      </c>
      <c r="D273" s="232"/>
      <c r="E273" s="309" t="s">
        <v>208</v>
      </c>
      <c r="F273" s="282" t="s">
        <v>263</v>
      </c>
      <c r="G273" s="161" t="s">
        <v>280</v>
      </c>
      <c r="H273" s="375">
        <v>2024.0</v>
      </c>
      <c r="I273" s="284">
        <v>2030.0</v>
      </c>
      <c r="J273" s="285" t="s">
        <v>1117</v>
      </c>
      <c r="K273" s="315">
        <v>0.57</v>
      </c>
      <c r="L273" s="286" t="s">
        <v>693</v>
      </c>
      <c r="M273" s="287">
        <v>2024.0</v>
      </c>
      <c r="N273" s="395" t="s">
        <v>1118</v>
      </c>
      <c r="O273" s="220" t="s">
        <v>1119</v>
      </c>
      <c r="P273" s="366">
        <v>2019.0</v>
      </c>
      <c r="Q273" s="275"/>
      <c r="R273" s="275"/>
      <c r="S273" s="286" t="s">
        <v>693</v>
      </c>
      <c r="T273" s="396" t="s">
        <v>1120</v>
      </c>
      <c r="U273" s="370" t="s">
        <v>1121</v>
      </c>
      <c r="V273" s="273"/>
      <c r="W273" s="274"/>
      <c r="X273" s="274"/>
      <c r="Y273" s="275"/>
      <c r="Z273" s="311"/>
      <c r="AA273" s="312"/>
    </row>
    <row r="274">
      <c r="A274" s="111">
        <v>326.0</v>
      </c>
      <c r="B274" s="291" t="s">
        <v>152</v>
      </c>
      <c r="C274" s="292" t="s">
        <v>343</v>
      </c>
      <c r="D274" s="232"/>
      <c r="E274" s="309" t="s">
        <v>208</v>
      </c>
      <c r="F274" s="282" t="s">
        <v>263</v>
      </c>
      <c r="G274" s="174" t="s">
        <v>280</v>
      </c>
      <c r="H274" s="372">
        <v>2024.0</v>
      </c>
      <c r="I274" s="295">
        <v>2030.0</v>
      </c>
      <c r="J274" s="296" t="s">
        <v>1122</v>
      </c>
      <c r="K274" s="297">
        <v>0.28</v>
      </c>
      <c r="L274" s="298" t="s">
        <v>693</v>
      </c>
      <c r="M274" s="299">
        <v>2024.0</v>
      </c>
      <c r="N274" s="397" t="s">
        <v>1123</v>
      </c>
      <c r="O274" s="301" t="s">
        <v>1119</v>
      </c>
      <c r="P274" s="319">
        <v>2019.0</v>
      </c>
      <c r="Q274" s="303"/>
      <c r="R274" s="303"/>
      <c r="S274" s="298" t="s">
        <v>693</v>
      </c>
      <c r="T274" s="398" t="s">
        <v>1120</v>
      </c>
      <c r="U274" s="371" t="s">
        <v>1121</v>
      </c>
      <c r="V274" s="305"/>
      <c r="W274" s="306"/>
      <c r="X274" s="306"/>
      <c r="Y274" s="303"/>
      <c r="Z274" s="311"/>
      <c r="AA274" s="312"/>
    </row>
    <row r="275">
      <c r="A275" s="111">
        <v>327.0</v>
      </c>
      <c r="B275" s="280" t="s">
        <v>152</v>
      </c>
      <c r="C275" s="281" t="s">
        <v>343</v>
      </c>
      <c r="D275" s="232"/>
      <c r="E275" s="313" t="s">
        <v>208</v>
      </c>
      <c r="F275" s="282" t="s">
        <v>263</v>
      </c>
      <c r="G275" s="161" t="s">
        <v>280</v>
      </c>
      <c r="H275" s="375">
        <v>2024.0</v>
      </c>
      <c r="I275" s="284">
        <v>2050.0</v>
      </c>
      <c r="J275" s="285" t="s">
        <v>1124</v>
      </c>
      <c r="K275" s="315">
        <v>0.9</v>
      </c>
      <c r="L275" s="286" t="s">
        <v>693</v>
      </c>
      <c r="M275" s="287">
        <v>2024.0</v>
      </c>
      <c r="N275" s="396" t="s">
        <v>1120</v>
      </c>
      <c r="O275" s="220" t="s">
        <v>1119</v>
      </c>
      <c r="P275" s="366">
        <v>2019.0</v>
      </c>
      <c r="Q275" s="275"/>
      <c r="R275" s="275"/>
      <c r="S275" s="286" t="s">
        <v>693</v>
      </c>
      <c r="T275" s="396" t="s">
        <v>1120</v>
      </c>
      <c r="U275" s="370" t="s">
        <v>1125</v>
      </c>
      <c r="V275" s="273"/>
      <c r="W275" s="274"/>
      <c r="X275" s="274"/>
      <c r="Y275" s="275"/>
      <c r="Z275" s="311"/>
      <c r="AA275" s="312"/>
    </row>
    <row r="276">
      <c r="A276" s="111">
        <v>328.0</v>
      </c>
      <c r="B276" s="291" t="s">
        <v>152</v>
      </c>
      <c r="C276" s="292" t="s">
        <v>207</v>
      </c>
      <c r="D276" s="232"/>
      <c r="E276" s="309" t="s">
        <v>383</v>
      </c>
      <c r="F276" s="282" t="s">
        <v>220</v>
      </c>
      <c r="G276" s="325"/>
      <c r="H276" s="372">
        <v>2024.0</v>
      </c>
      <c r="I276" s="295">
        <v>2030.0</v>
      </c>
      <c r="J276" s="296" t="s">
        <v>1126</v>
      </c>
      <c r="K276" s="298" t="s">
        <v>1127</v>
      </c>
      <c r="L276" s="298" t="s">
        <v>693</v>
      </c>
      <c r="M276" s="399">
        <v>2024.0</v>
      </c>
      <c r="N276" s="400" t="s">
        <v>1128</v>
      </c>
      <c r="O276" s="401"/>
      <c r="P276" s="302"/>
      <c r="Q276" s="303"/>
      <c r="R276" s="303"/>
      <c r="S276" s="303"/>
      <c r="T276" s="303"/>
      <c r="U276" s="304"/>
      <c r="V276" s="320">
        <v>2030.0</v>
      </c>
      <c r="W276" s="321" t="s">
        <v>1126</v>
      </c>
      <c r="X276" s="322">
        <v>0.92</v>
      </c>
      <c r="Y276" s="298" t="s">
        <v>1129</v>
      </c>
      <c r="Z276" s="308" t="s">
        <v>1120</v>
      </c>
      <c r="AA276" s="323" t="s">
        <v>1130</v>
      </c>
    </row>
    <row r="277">
      <c r="A277" s="111">
        <v>329.0</v>
      </c>
      <c r="B277" s="280" t="s">
        <v>152</v>
      </c>
      <c r="C277" s="281" t="s">
        <v>343</v>
      </c>
      <c r="D277" s="232"/>
      <c r="E277" s="313" t="s">
        <v>383</v>
      </c>
      <c r="F277" s="282" t="s">
        <v>220</v>
      </c>
      <c r="G277" s="324"/>
      <c r="H277" s="375">
        <v>2024.0</v>
      </c>
      <c r="I277" s="284">
        <v>2030.0</v>
      </c>
      <c r="J277" s="285" t="s">
        <v>1131</v>
      </c>
      <c r="K277" s="315">
        <v>0.75</v>
      </c>
      <c r="L277" s="286" t="s">
        <v>693</v>
      </c>
      <c r="M277" s="402">
        <v>2024.0</v>
      </c>
      <c r="N277" s="403" t="s">
        <v>1128</v>
      </c>
      <c r="O277" s="404"/>
      <c r="P277" s="289"/>
      <c r="Q277" s="275"/>
      <c r="R277" s="275"/>
      <c r="S277" s="275"/>
      <c r="T277" s="275"/>
      <c r="U277" s="290"/>
      <c r="V277" s="273"/>
      <c r="W277" s="274"/>
      <c r="X277" s="274"/>
      <c r="Y277" s="275"/>
      <c r="Z277" s="316"/>
      <c r="AA277" s="317"/>
    </row>
    <row r="278">
      <c r="A278" s="111">
        <v>330.0</v>
      </c>
      <c r="B278" s="291" t="s">
        <v>152</v>
      </c>
      <c r="C278" s="292" t="s">
        <v>343</v>
      </c>
      <c r="D278" s="232"/>
      <c r="E278" s="309" t="s">
        <v>383</v>
      </c>
      <c r="F278" s="282" t="s">
        <v>720</v>
      </c>
      <c r="G278" s="325"/>
      <c r="H278" s="372">
        <v>2024.0</v>
      </c>
      <c r="I278" s="295">
        <v>2030.0</v>
      </c>
      <c r="J278" s="296" t="s">
        <v>1132</v>
      </c>
      <c r="K278" s="298"/>
      <c r="L278" s="298"/>
      <c r="M278" s="405">
        <v>2024.0</v>
      </c>
      <c r="N278" s="403" t="s">
        <v>1128</v>
      </c>
      <c r="O278" s="401"/>
      <c r="P278" s="302"/>
      <c r="Q278" s="303"/>
      <c r="R278" s="303"/>
      <c r="S278" s="303"/>
      <c r="T278" s="303"/>
      <c r="U278" s="304"/>
      <c r="V278" s="305"/>
      <c r="W278" s="306"/>
      <c r="X278" s="306"/>
      <c r="Y278" s="303"/>
      <c r="Z278" s="311"/>
      <c r="AA278" s="312"/>
    </row>
    <row r="279">
      <c r="A279" s="111">
        <v>331.0</v>
      </c>
      <c r="B279" s="280" t="s">
        <v>159</v>
      </c>
      <c r="C279" s="281" t="s">
        <v>274</v>
      </c>
      <c r="D279" s="232"/>
      <c r="E279" s="313" t="s">
        <v>208</v>
      </c>
      <c r="F279" s="406" t="s">
        <v>258</v>
      </c>
      <c r="G279" s="407"/>
      <c r="H279" s="284">
        <v>2017.0</v>
      </c>
      <c r="I279" s="408">
        <v>2020.0</v>
      </c>
      <c r="J279" s="285" t="s">
        <v>1133</v>
      </c>
      <c r="K279" s="315">
        <v>0.2</v>
      </c>
      <c r="L279" s="286" t="s">
        <v>693</v>
      </c>
      <c r="M279" s="287">
        <v>2016.0</v>
      </c>
      <c r="N279" s="288" t="s">
        <v>1134</v>
      </c>
      <c r="O279" s="220" t="s">
        <v>1135</v>
      </c>
      <c r="P279" s="289"/>
      <c r="Q279" s="275"/>
      <c r="R279" s="275"/>
      <c r="S279" s="275"/>
      <c r="T279" s="275"/>
      <c r="U279" s="290"/>
      <c r="V279" s="215">
        <v>2020.0</v>
      </c>
      <c r="W279" s="216" t="s">
        <v>1136</v>
      </c>
      <c r="X279" s="367">
        <v>-0.31</v>
      </c>
      <c r="Y279" s="275"/>
      <c r="Z279" s="368" t="s">
        <v>296</v>
      </c>
      <c r="AA279" s="369" t="s">
        <v>1137</v>
      </c>
    </row>
    <row r="280">
      <c r="A280" s="111">
        <v>332.0</v>
      </c>
      <c r="B280" s="291" t="s">
        <v>159</v>
      </c>
      <c r="C280" s="292" t="s">
        <v>274</v>
      </c>
      <c r="D280" s="232"/>
      <c r="E280" s="309" t="s">
        <v>231</v>
      </c>
      <c r="F280" s="409" t="s">
        <v>258</v>
      </c>
      <c r="G280" s="174" t="s">
        <v>494</v>
      </c>
      <c r="H280" s="295">
        <v>2017.0</v>
      </c>
      <c r="I280" s="410">
        <v>2020.0</v>
      </c>
      <c r="J280" s="296" t="s">
        <v>1138</v>
      </c>
      <c r="K280" s="297">
        <v>0.5</v>
      </c>
      <c r="L280" s="298" t="s">
        <v>693</v>
      </c>
      <c r="M280" s="299">
        <v>2016.0</v>
      </c>
      <c r="N280" s="300" t="s">
        <v>1134</v>
      </c>
      <c r="O280" s="301" t="s">
        <v>1135</v>
      </c>
      <c r="P280" s="302"/>
      <c r="Q280" s="303"/>
      <c r="R280" s="303"/>
      <c r="S280" s="303"/>
      <c r="T280" s="303"/>
      <c r="U280" s="304"/>
      <c r="V280" s="320">
        <v>2020.0</v>
      </c>
      <c r="W280" s="321"/>
      <c r="X280" s="411" t="s">
        <v>274</v>
      </c>
      <c r="Y280" s="303"/>
      <c r="Z280" s="311"/>
      <c r="AA280" s="312"/>
    </row>
    <row r="281">
      <c r="A281" s="111">
        <v>333.0</v>
      </c>
      <c r="B281" s="280" t="s">
        <v>159</v>
      </c>
      <c r="C281" s="281" t="s">
        <v>207</v>
      </c>
      <c r="D281" s="232"/>
      <c r="E281" s="313" t="s">
        <v>208</v>
      </c>
      <c r="F281" s="409" t="s">
        <v>258</v>
      </c>
      <c r="G281" s="161" t="s">
        <v>494</v>
      </c>
      <c r="H281" s="284">
        <v>2017.0</v>
      </c>
      <c r="I281" s="408">
        <v>2020.0</v>
      </c>
      <c r="J281" s="285" t="s">
        <v>1139</v>
      </c>
      <c r="K281" s="315">
        <v>0.3</v>
      </c>
      <c r="L281" s="286" t="s">
        <v>693</v>
      </c>
      <c r="M281" s="250">
        <v>2017.0</v>
      </c>
      <c r="N281" s="300" t="s">
        <v>1140</v>
      </c>
      <c r="O281" s="220" t="s">
        <v>1141</v>
      </c>
      <c r="P281" s="289"/>
      <c r="Q281" s="275"/>
      <c r="R281" s="275"/>
      <c r="S281" s="275"/>
      <c r="T281" s="275"/>
      <c r="U281" s="290"/>
      <c r="V281" s="215">
        <v>2020.0</v>
      </c>
      <c r="W281" s="216" t="s">
        <v>1142</v>
      </c>
      <c r="X281" s="367">
        <v>0.39</v>
      </c>
      <c r="Y281" s="275"/>
      <c r="Z281" s="308" t="s">
        <v>296</v>
      </c>
      <c r="AA281" s="369" t="s">
        <v>1137</v>
      </c>
    </row>
    <row r="282">
      <c r="A282" s="111">
        <v>334.0</v>
      </c>
      <c r="B282" s="291" t="s">
        <v>159</v>
      </c>
      <c r="C282" s="292" t="s">
        <v>219</v>
      </c>
      <c r="D282" s="232"/>
      <c r="E282" s="309" t="s">
        <v>208</v>
      </c>
      <c r="F282" s="409" t="s">
        <v>258</v>
      </c>
      <c r="G282" s="412"/>
      <c r="H282" s="295">
        <v>2017.0</v>
      </c>
      <c r="I282" s="410">
        <v>2020.0</v>
      </c>
      <c r="J282" s="296" t="s">
        <v>1143</v>
      </c>
      <c r="K282" s="297">
        <v>1.0</v>
      </c>
      <c r="L282" s="298" t="s">
        <v>693</v>
      </c>
      <c r="M282" s="299">
        <v>2017.0</v>
      </c>
      <c r="N282" s="300" t="s">
        <v>1140</v>
      </c>
      <c r="O282" s="301" t="s">
        <v>1144</v>
      </c>
      <c r="P282" s="302"/>
      <c r="Q282" s="303"/>
      <c r="R282" s="303"/>
      <c r="S282" s="303"/>
      <c r="T282" s="303"/>
      <c r="U282" s="304"/>
      <c r="V282" s="320">
        <v>2020.0</v>
      </c>
      <c r="W282" s="296" t="s">
        <v>1143</v>
      </c>
      <c r="X282" s="322">
        <v>0.67</v>
      </c>
      <c r="Y282" s="298" t="s">
        <v>1145</v>
      </c>
      <c r="Z282" s="308" t="s">
        <v>1146</v>
      </c>
      <c r="AA282" s="323" t="s">
        <v>1147</v>
      </c>
    </row>
    <row r="283">
      <c r="A283" s="111">
        <v>335.0</v>
      </c>
      <c r="B283" s="280" t="s">
        <v>159</v>
      </c>
      <c r="C283" s="281" t="s">
        <v>207</v>
      </c>
      <c r="D283" s="232"/>
      <c r="E283" s="313" t="s">
        <v>231</v>
      </c>
      <c r="F283" s="413" t="s">
        <v>420</v>
      </c>
      <c r="G283" s="414"/>
      <c r="H283" s="284">
        <v>2017.0</v>
      </c>
      <c r="I283" s="415">
        <v>2020.0</v>
      </c>
      <c r="J283" s="416" t="s">
        <v>1148</v>
      </c>
      <c r="K283" s="315">
        <v>0.1</v>
      </c>
      <c r="L283" s="286" t="s">
        <v>693</v>
      </c>
      <c r="M283" s="250">
        <v>2016.0</v>
      </c>
      <c r="N283" s="300" t="s">
        <v>1134</v>
      </c>
      <c r="O283" s="220" t="s">
        <v>1149</v>
      </c>
      <c r="P283" s="366">
        <v>2013.0</v>
      </c>
      <c r="Q283" s="275"/>
      <c r="R283" s="275"/>
      <c r="S283" s="286" t="s">
        <v>693</v>
      </c>
      <c r="T283" s="288" t="s">
        <v>1134</v>
      </c>
      <c r="U283" s="220" t="s">
        <v>1149</v>
      </c>
      <c r="V283" s="273">
        <v>2020.0</v>
      </c>
      <c r="W283" s="216" t="s">
        <v>1148</v>
      </c>
      <c r="X283" s="367">
        <v>0.1</v>
      </c>
      <c r="Y283" s="286" t="s">
        <v>1150</v>
      </c>
      <c r="Z283" s="368" t="s">
        <v>1146</v>
      </c>
      <c r="AA283" s="369" t="s">
        <v>1147</v>
      </c>
    </row>
    <row r="284">
      <c r="A284" s="111">
        <v>336.0</v>
      </c>
      <c r="B284" s="291" t="s">
        <v>159</v>
      </c>
      <c r="C284" s="292" t="s">
        <v>219</v>
      </c>
      <c r="D284" s="232"/>
      <c r="E284" s="309" t="s">
        <v>231</v>
      </c>
      <c r="F284" s="417" t="s">
        <v>420</v>
      </c>
      <c r="G284" s="394"/>
      <c r="H284" s="295">
        <v>2017.0</v>
      </c>
      <c r="I284" s="418">
        <v>2020.0</v>
      </c>
      <c r="J284" s="419" t="s">
        <v>1151</v>
      </c>
      <c r="K284" s="297">
        <v>0.1</v>
      </c>
      <c r="L284" s="298" t="s">
        <v>693</v>
      </c>
      <c r="M284" s="299">
        <v>2016.0</v>
      </c>
      <c r="N284" s="300" t="s">
        <v>1134</v>
      </c>
      <c r="O284" s="301" t="s">
        <v>1149</v>
      </c>
      <c r="P284" s="319">
        <v>2013.0</v>
      </c>
      <c r="Q284" s="303"/>
      <c r="R284" s="303"/>
      <c r="S284" s="298" t="s">
        <v>693</v>
      </c>
      <c r="T284" s="300" t="s">
        <v>1134</v>
      </c>
      <c r="U284" s="301" t="s">
        <v>1149</v>
      </c>
      <c r="V284" s="420">
        <v>2020.0</v>
      </c>
      <c r="W284" s="421" t="s">
        <v>1151</v>
      </c>
      <c r="X284" s="422">
        <v>0.005</v>
      </c>
      <c r="Y284" s="298" t="s">
        <v>1150</v>
      </c>
      <c r="Z284" s="308" t="s">
        <v>1146</v>
      </c>
      <c r="AA284" s="323" t="s">
        <v>1147</v>
      </c>
    </row>
    <row r="285">
      <c r="A285" s="111">
        <v>337.0</v>
      </c>
      <c r="B285" s="280" t="s">
        <v>159</v>
      </c>
      <c r="C285" s="281" t="s">
        <v>207</v>
      </c>
      <c r="D285" s="232"/>
      <c r="E285" s="313" t="s">
        <v>231</v>
      </c>
      <c r="F285" s="413" t="s">
        <v>420</v>
      </c>
      <c r="G285" s="414"/>
      <c r="H285" s="284">
        <v>2017.0</v>
      </c>
      <c r="I285" s="415">
        <v>2020.0</v>
      </c>
      <c r="J285" s="416" t="s">
        <v>1152</v>
      </c>
      <c r="K285" s="315">
        <v>0.1</v>
      </c>
      <c r="L285" s="286" t="s">
        <v>693</v>
      </c>
      <c r="M285" s="250">
        <v>2016.0</v>
      </c>
      <c r="N285" s="300" t="s">
        <v>1134</v>
      </c>
      <c r="O285" s="220" t="s">
        <v>1149</v>
      </c>
      <c r="P285" s="366">
        <v>2013.0</v>
      </c>
      <c r="Q285" s="275"/>
      <c r="R285" s="275"/>
      <c r="S285" s="286" t="s">
        <v>693</v>
      </c>
      <c r="T285" s="300" t="s">
        <v>1134</v>
      </c>
      <c r="U285" s="220" t="s">
        <v>1149</v>
      </c>
      <c r="V285" s="273">
        <v>2020.0</v>
      </c>
      <c r="W285" s="216" t="s">
        <v>1152</v>
      </c>
      <c r="X285" s="367">
        <v>0.31</v>
      </c>
      <c r="Y285" s="286" t="s">
        <v>1150</v>
      </c>
      <c r="Z285" s="368" t="s">
        <v>1146</v>
      </c>
      <c r="AA285" s="369" t="s">
        <v>1147</v>
      </c>
    </row>
    <row r="286">
      <c r="A286" s="111">
        <v>338.0</v>
      </c>
      <c r="B286" s="291" t="s">
        <v>159</v>
      </c>
      <c r="C286" s="292" t="s">
        <v>207</v>
      </c>
      <c r="D286" s="232"/>
      <c r="E286" s="309" t="s">
        <v>208</v>
      </c>
      <c r="F286" s="293" t="s">
        <v>220</v>
      </c>
      <c r="G286" s="394"/>
      <c r="H286" s="295">
        <v>2017.0</v>
      </c>
      <c r="I286" s="418">
        <v>2020.0</v>
      </c>
      <c r="J286" s="296" t="s">
        <v>1153</v>
      </c>
      <c r="K286" s="297">
        <v>0.7</v>
      </c>
      <c r="L286" s="298" t="s">
        <v>693</v>
      </c>
      <c r="M286" s="299">
        <v>2018.0</v>
      </c>
      <c r="N286" s="300" t="s">
        <v>1154</v>
      </c>
      <c r="O286" s="301" t="s">
        <v>1155</v>
      </c>
      <c r="P286" s="302"/>
      <c r="Q286" s="303"/>
      <c r="R286" s="303"/>
      <c r="S286" s="303"/>
      <c r="T286" s="303"/>
      <c r="U286" s="304"/>
      <c r="V286" s="305">
        <v>2020.0</v>
      </c>
      <c r="W286" s="423" t="s">
        <v>1153</v>
      </c>
      <c r="X286" s="322">
        <v>0.91</v>
      </c>
      <c r="Y286" s="298" t="s">
        <v>1156</v>
      </c>
      <c r="Z286" s="308" t="s">
        <v>1146</v>
      </c>
      <c r="AA286" s="323" t="s">
        <v>1147</v>
      </c>
    </row>
    <row r="287">
      <c r="A287" s="111">
        <v>339.0</v>
      </c>
      <c r="B287" s="280" t="s">
        <v>159</v>
      </c>
      <c r="C287" s="281" t="s">
        <v>207</v>
      </c>
      <c r="D287" s="232"/>
      <c r="E287" s="313" t="s">
        <v>208</v>
      </c>
      <c r="F287" s="293" t="s">
        <v>220</v>
      </c>
      <c r="G287" s="214" t="s">
        <v>374</v>
      </c>
      <c r="H287" s="284">
        <v>2017.0</v>
      </c>
      <c r="I287" s="408">
        <v>2020.0</v>
      </c>
      <c r="J287" s="416" t="s">
        <v>1157</v>
      </c>
      <c r="K287" s="315">
        <v>0.7</v>
      </c>
      <c r="L287" s="286" t="s">
        <v>693</v>
      </c>
      <c r="M287" s="250">
        <v>2016.0</v>
      </c>
      <c r="N287" s="300" t="s">
        <v>1134</v>
      </c>
      <c r="O287" s="220" t="s">
        <v>1158</v>
      </c>
      <c r="P287" s="289"/>
      <c r="Q287" s="275"/>
      <c r="R287" s="275"/>
      <c r="S287" s="275"/>
      <c r="T287" s="275"/>
      <c r="U287" s="290"/>
      <c r="V287" s="424">
        <v>2020.0</v>
      </c>
      <c r="W287" s="425" t="s">
        <v>1157</v>
      </c>
      <c r="X287" s="367">
        <v>0.74</v>
      </c>
      <c r="Y287" s="286" t="s">
        <v>827</v>
      </c>
      <c r="Z287" s="368" t="s">
        <v>1146</v>
      </c>
      <c r="AA287" s="369" t="s">
        <v>1147</v>
      </c>
    </row>
    <row r="288">
      <c r="A288" s="111">
        <v>341.0</v>
      </c>
      <c r="B288" s="291" t="s">
        <v>159</v>
      </c>
      <c r="C288" s="292" t="s">
        <v>219</v>
      </c>
      <c r="D288" s="232"/>
      <c r="E288" s="309" t="s">
        <v>383</v>
      </c>
      <c r="F288" s="293" t="s">
        <v>220</v>
      </c>
      <c r="G288" s="394"/>
      <c r="H288" s="295">
        <v>2017.0</v>
      </c>
      <c r="I288" s="410">
        <v>2020.0</v>
      </c>
      <c r="J288" s="419" t="s">
        <v>1159</v>
      </c>
      <c r="K288" s="297">
        <v>1.0</v>
      </c>
      <c r="L288" s="298" t="s">
        <v>693</v>
      </c>
      <c r="M288" s="299">
        <v>2017.0</v>
      </c>
      <c r="N288" s="300" t="s">
        <v>1140</v>
      </c>
      <c r="O288" s="301" t="s">
        <v>1160</v>
      </c>
      <c r="P288" s="302"/>
      <c r="Q288" s="303"/>
      <c r="R288" s="303"/>
      <c r="S288" s="303"/>
      <c r="T288" s="303"/>
      <c r="U288" s="304"/>
      <c r="V288" s="424">
        <v>2020.0</v>
      </c>
      <c r="W288" s="411" t="s">
        <v>1159</v>
      </c>
      <c r="X288" s="322">
        <v>0.9</v>
      </c>
      <c r="Y288" s="298" t="s">
        <v>1161</v>
      </c>
      <c r="Z288" s="308" t="s">
        <v>1146</v>
      </c>
      <c r="AA288" s="369" t="s">
        <v>1147</v>
      </c>
    </row>
    <row r="289">
      <c r="A289" s="111">
        <v>342.0</v>
      </c>
      <c r="B289" s="280" t="s">
        <v>159</v>
      </c>
      <c r="C289" s="281" t="s">
        <v>219</v>
      </c>
      <c r="D289" s="232"/>
      <c r="E289" s="313" t="s">
        <v>231</v>
      </c>
      <c r="F289" s="282" t="s">
        <v>220</v>
      </c>
      <c r="G289" s="216" t="s">
        <v>251</v>
      </c>
      <c r="H289" s="284">
        <v>2017.0</v>
      </c>
      <c r="I289" s="408">
        <v>2020.0</v>
      </c>
      <c r="J289" s="416" t="s">
        <v>1162</v>
      </c>
      <c r="K289" s="315">
        <v>0.7</v>
      </c>
      <c r="L289" s="286" t="s">
        <v>693</v>
      </c>
      <c r="M289" s="250">
        <v>2016.0</v>
      </c>
      <c r="N289" s="300" t="s">
        <v>1134</v>
      </c>
      <c r="O289" s="220" t="s">
        <v>1158</v>
      </c>
      <c r="P289" s="289"/>
      <c r="Q289" s="275"/>
      <c r="R289" s="275"/>
      <c r="S289" s="275"/>
      <c r="T289" s="303"/>
      <c r="U289" s="290"/>
      <c r="V289" s="273">
        <v>2020.0</v>
      </c>
      <c r="W289" s="274" t="s">
        <v>1163</v>
      </c>
      <c r="X289" s="367">
        <v>0.51</v>
      </c>
      <c r="Y289" s="286" t="s">
        <v>1164</v>
      </c>
      <c r="Z289" s="308" t="s">
        <v>1146</v>
      </c>
      <c r="AA289" s="369" t="s">
        <v>1147</v>
      </c>
    </row>
    <row r="290">
      <c r="A290" s="111">
        <v>345.0</v>
      </c>
      <c r="B290" s="291" t="s">
        <v>159</v>
      </c>
      <c r="C290" s="292" t="s">
        <v>343</v>
      </c>
      <c r="D290" s="232"/>
      <c r="E290" s="309" t="s">
        <v>231</v>
      </c>
      <c r="F290" s="293" t="s">
        <v>373</v>
      </c>
      <c r="G290" s="394"/>
      <c r="H290" s="295">
        <v>2020.0</v>
      </c>
      <c r="I290" s="410">
        <v>2025.0</v>
      </c>
      <c r="J290" s="419" t="s">
        <v>1165</v>
      </c>
      <c r="K290" s="297">
        <v>1.0</v>
      </c>
      <c r="L290" s="298" t="s">
        <v>693</v>
      </c>
      <c r="M290" s="299">
        <v>2020.0</v>
      </c>
      <c r="N290" s="300" t="s">
        <v>1166</v>
      </c>
      <c r="O290" s="301" t="s">
        <v>1147</v>
      </c>
      <c r="P290" s="302"/>
      <c r="Q290" s="303"/>
      <c r="R290" s="303"/>
      <c r="S290" s="303"/>
      <c r="T290" s="303"/>
      <c r="U290" s="304"/>
      <c r="V290" s="426">
        <v>2020.0</v>
      </c>
      <c r="W290" s="421" t="s">
        <v>1167</v>
      </c>
      <c r="X290" s="322">
        <v>1.0</v>
      </c>
      <c r="Y290" s="298" t="s">
        <v>1168</v>
      </c>
      <c r="Z290" s="308" t="s">
        <v>1146</v>
      </c>
      <c r="AA290" s="323" t="s">
        <v>1147</v>
      </c>
    </row>
    <row r="291">
      <c r="A291" s="111">
        <v>346.0</v>
      </c>
      <c r="B291" s="280" t="s">
        <v>159</v>
      </c>
      <c r="C291" s="281" t="s">
        <v>219</v>
      </c>
      <c r="D291" s="232"/>
      <c r="E291" s="313" t="s">
        <v>383</v>
      </c>
      <c r="F291" s="413" t="s">
        <v>420</v>
      </c>
      <c r="G291" s="414"/>
      <c r="H291" s="284">
        <v>2017.0</v>
      </c>
      <c r="I291" s="408">
        <v>2020.0</v>
      </c>
      <c r="J291" s="416" t="s">
        <v>1169</v>
      </c>
      <c r="K291" s="315">
        <v>1.0</v>
      </c>
      <c r="L291" s="286" t="s">
        <v>693</v>
      </c>
      <c r="M291" s="250">
        <v>2016.0</v>
      </c>
      <c r="N291" s="300" t="s">
        <v>1134</v>
      </c>
      <c r="O291" s="220" t="s">
        <v>1170</v>
      </c>
      <c r="P291" s="289"/>
      <c r="Q291" s="275"/>
      <c r="R291" s="275"/>
      <c r="S291" s="275"/>
      <c r="T291" s="303"/>
      <c r="U291" s="290"/>
      <c r="V291" s="424">
        <v>2020.0</v>
      </c>
      <c r="W291" s="425" t="s">
        <v>1169</v>
      </c>
      <c r="X291" s="367">
        <v>0.56</v>
      </c>
      <c r="Y291" s="286" t="s">
        <v>1171</v>
      </c>
      <c r="Z291" s="308" t="s">
        <v>1146</v>
      </c>
      <c r="AA291" s="369" t="s">
        <v>1147</v>
      </c>
    </row>
    <row r="292">
      <c r="A292" s="111">
        <v>347.0</v>
      </c>
      <c r="B292" s="291" t="s">
        <v>159</v>
      </c>
      <c r="C292" s="292" t="s">
        <v>219</v>
      </c>
      <c r="D292" s="232"/>
      <c r="E292" s="309" t="s">
        <v>231</v>
      </c>
      <c r="F292" s="417" t="s">
        <v>420</v>
      </c>
      <c r="G292" s="394"/>
      <c r="H292" s="295">
        <v>2017.0</v>
      </c>
      <c r="I292" s="410">
        <v>2020.0</v>
      </c>
      <c r="J292" s="419" t="s">
        <v>1172</v>
      </c>
      <c r="K292" s="297">
        <v>1.0</v>
      </c>
      <c r="L292" s="298" t="s">
        <v>693</v>
      </c>
      <c r="M292" s="299">
        <v>2016.0</v>
      </c>
      <c r="N292" s="300" t="s">
        <v>1134</v>
      </c>
      <c r="O292" s="301" t="s">
        <v>1170</v>
      </c>
      <c r="P292" s="302"/>
      <c r="Q292" s="303"/>
      <c r="R292" s="303"/>
      <c r="S292" s="303"/>
      <c r="T292" s="303"/>
      <c r="U292" s="304"/>
      <c r="V292" s="305">
        <v>2020.0</v>
      </c>
      <c r="W292" s="306" t="s">
        <v>1172</v>
      </c>
      <c r="X292" s="322">
        <v>0.99</v>
      </c>
      <c r="Y292" s="298" t="s">
        <v>1173</v>
      </c>
      <c r="Z292" s="308" t="s">
        <v>1146</v>
      </c>
      <c r="AA292" s="369" t="s">
        <v>1147</v>
      </c>
    </row>
    <row r="293">
      <c r="A293" s="111">
        <v>348.0</v>
      </c>
      <c r="B293" s="280" t="s">
        <v>159</v>
      </c>
      <c r="C293" s="281" t="s">
        <v>219</v>
      </c>
      <c r="D293" s="232"/>
      <c r="E293" s="313" t="s">
        <v>231</v>
      </c>
      <c r="F293" s="413" t="s">
        <v>420</v>
      </c>
      <c r="G293" s="414"/>
      <c r="H293" s="284">
        <v>2017.0</v>
      </c>
      <c r="I293" s="408">
        <v>2020.0</v>
      </c>
      <c r="J293" s="416" t="s">
        <v>1174</v>
      </c>
      <c r="K293" s="315">
        <v>1.0</v>
      </c>
      <c r="L293" s="286" t="s">
        <v>693</v>
      </c>
      <c r="M293" s="250">
        <v>2016.0</v>
      </c>
      <c r="N293" s="300" t="s">
        <v>1134</v>
      </c>
      <c r="O293" s="220" t="s">
        <v>1170</v>
      </c>
      <c r="P293" s="289"/>
      <c r="Q293" s="275"/>
      <c r="R293" s="275"/>
      <c r="S293" s="275"/>
      <c r="T293" s="275"/>
      <c r="U293" s="290"/>
      <c r="V293" s="424">
        <v>2020.0</v>
      </c>
      <c r="W293" s="411" t="s">
        <v>1174</v>
      </c>
      <c r="X293" s="367">
        <v>0.79</v>
      </c>
      <c r="Y293" s="286" t="s">
        <v>1173</v>
      </c>
      <c r="Z293" s="308" t="s">
        <v>1146</v>
      </c>
      <c r="AA293" s="369" t="s">
        <v>1147</v>
      </c>
    </row>
    <row r="294">
      <c r="A294" s="111">
        <v>349.0</v>
      </c>
      <c r="B294" s="280" t="s">
        <v>159</v>
      </c>
      <c r="C294" s="233" t="s">
        <v>207</v>
      </c>
      <c r="D294" s="232"/>
      <c r="E294" s="252" t="s">
        <v>208</v>
      </c>
      <c r="F294" s="282" t="s">
        <v>263</v>
      </c>
      <c r="G294" s="115" t="s">
        <v>280</v>
      </c>
      <c r="H294" s="131">
        <v>2017.0</v>
      </c>
      <c r="I294" s="116">
        <v>2020.0</v>
      </c>
      <c r="J294" s="427" t="s">
        <v>1175</v>
      </c>
      <c r="K294" s="237">
        <v>0.25</v>
      </c>
      <c r="L294" s="238" t="s">
        <v>693</v>
      </c>
      <c r="M294" s="250">
        <v>2016.0</v>
      </c>
      <c r="N294" s="300" t="s">
        <v>1134</v>
      </c>
      <c r="O294" s="232" t="s">
        <v>754</v>
      </c>
      <c r="P294" s="241">
        <v>2013.0</v>
      </c>
      <c r="Q294" s="242"/>
      <c r="R294" s="242"/>
      <c r="S294" s="238" t="s">
        <v>693</v>
      </c>
      <c r="T294" s="248" t="s">
        <v>1134</v>
      </c>
      <c r="U294" s="238" t="s">
        <v>754</v>
      </c>
      <c r="V294" s="144">
        <v>2020.0</v>
      </c>
      <c r="W294" s="122" t="s">
        <v>1175</v>
      </c>
      <c r="X294" s="428">
        <v>-0.365</v>
      </c>
      <c r="Y294" s="238" t="s">
        <v>1176</v>
      </c>
      <c r="Z294" s="279" t="s">
        <v>1146</v>
      </c>
      <c r="AA294" s="429" t="s">
        <v>1147</v>
      </c>
    </row>
    <row r="295">
      <c r="A295" s="111">
        <v>350.0</v>
      </c>
      <c r="B295" s="430" t="s">
        <v>159</v>
      </c>
      <c r="C295" s="233" t="s">
        <v>207</v>
      </c>
      <c r="D295" s="232"/>
      <c r="E295" s="252" t="s">
        <v>383</v>
      </c>
      <c r="F295" s="431" t="s">
        <v>387</v>
      </c>
      <c r="G295" s="146"/>
      <c r="H295" s="131">
        <v>2017.0</v>
      </c>
      <c r="I295" s="116">
        <v>2020.0</v>
      </c>
      <c r="J295" s="427" t="s">
        <v>1177</v>
      </c>
      <c r="K295" s="237">
        <v>0.1</v>
      </c>
      <c r="L295" s="238" t="s">
        <v>693</v>
      </c>
      <c r="M295" s="250">
        <v>2016.0</v>
      </c>
      <c r="N295" s="300" t="s">
        <v>1134</v>
      </c>
      <c r="O295" s="232" t="s">
        <v>1121</v>
      </c>
      <c r="P295" s="241">
        <v>2013.0</v>
      </c>
      <c r="Q295" s="242"/>
      <c r="R295" s="242"/>
      <c r="S295" s="238" t="s">
        <v>693</v>
      </c>
      <c r="T295" s="248" t="s">
        <v>1134</v>
      </c>
      <c r="U295" s="238" t="s">
        <v>1121</v>
      </c>
      <c r="V295" s="144">
        <v>2020.0</v>
      </c>
      <c r="W295" s="122" t="s">
        <v>1177</v>
      </c>
      <c r="X295" s="428">
        <v>-0.116</v>
      </c>
      <c r="Y295" s="238" t="s">
        <v>1178</v>
      </c>
      <c r="Z295" s="279" t="s">
        <v>1146</v>
      </c>
      <c r="AA295" s="429" t="s">
        <v>1179</v>
      </c>
    </row>
    <row r="296">
      <c r="A296" s="111">
        <v>351.0</v>
      </c>
      <c r="B296" s="291" t="s">
        <v>159</v>
      </c>
      <c r="C296" s="292" t="s">
        <v>219</v>
      </c>
      <c r="D296" s="232"/>
      <c r="E296" s="252" t="s">
        <v>231</v>
      </c>
      <c r="F296" s="417" t="s">
        <v>420</v>
      </c>
      <c r="G296" s="414"/>
      <c r="H296" s="295">
        <v>2017.0</v>
      </c>
      <c r="I296" s="410">
        <v>2020.0</v>
      </c>
      <c r="J296" s="419" t="s">
        <v>1180</v>
      </c>
      <c r="K296" s="297">
        <v>1.0</v>
      </c>
      <c r="L296" s="298" t="s">
        <v>693</v>
      </c>
      <c r="M296" s="299">
        <v>2017.0</v>
      </c>
      <c r="N296" s="300" t="s">
        <v>1140</v>
      </c>
      <c r="O296" s="301" t="s">
        <v>1181</v>
      </c>
      <c r="P296" s="302"/>
      <c r="Q296" s="303"/>
      <c r="R296" s="303"/>
      <c r="S296" s="303"/>
      <c r="T296" s="303"/>
      <c r="U296" s="304"/>
      <c r="V296" s="305">
        <v>2020.0</v>
      </c>
      <c r="W296" s="306" t="s">
        <v>1182</v>
      </c>
      <c r="X296" s="322">
        <v>0.69</v>
      </c>
      <c r="Y296" s="298" t="s">
        <v>1183</v>
      </c>
      <c r="Z296" s="308" t="s">
        <v>1146</v>
      </c>
      <c r="AA296" s="323" t="s">
        <v>1184</v>
      </c>
    </row>
    <row r="297">
      <c r="A297" s="111">
        <v>352.0</v>
      </c>
      <c r="B297" s="280" t="s">
        <v>159</v>
      </c>
      <c r="C297" s="281" t="s">
        <v>207</v>
      </c>
      <c r="D297" s="232"/>
      <c r="E297" s="313" t="s">
        <v>208</v>
      </c>
      <c r="F297" s="406" t="s">
        <v>258</v>
      </c>
      <c r="G297" s="407"/>
      <c r="H297" s="284">
        <v>2017.0</v>
      </c>
      <c r="I297" s="408">
        <v>2020.0</v>
      </c>
      <c r="J297" s="416" t="s">
        <v>1185</v>
      </c>
      <c r="K297" s="286">
        <v>30.0</v>
      </c>
      <c r="L297" s="286" t="s">
        <v>693</v>
      </c>
      <c r="M297" s="250">
        <v>2016.0</v>
      </c>
      <c r="N297" s="300" t="s">
        <v>1134</v>
      </c>
      <c r="O297" s="220" t="s">
        <v>1121</v>
      </c>
      <c r="P297" s="289"/>
      <c r="Q297" s="275"/>
      <c r="R297" s="275"/>
      <c r="S297" s="275"/>
      <c r="T297" s="275"/>
      <c r="U297" s="290"/>
      <c r="V297" s="273">
        <v>2020.0</v>
      </c>
      <c r="W297" s="274" t="s">
        <v>1185</v>
      </c>
      <c r="X297" s="367">
        <v>-0.31</v>
      </c>
      <c r="Y297" s="286" t="s">
        <v>1186</v>
      </c>
      <c r="Z297" s="308" t="s">
        <v>1146</v>
      </c>
      <c r="AA297" s="369" t="s">
        <v>1147</v>
      </c>
    </row>
    <row r="298">
      <c r="A298" s="111">
        <v>353.0</v>
      </c>
      <c r="B298" s="291" t="s">
        <v>159</v>
      </c>
      <c r="C298" s="292" t="s">
        <v>343</v>
      </c>
      <c r="D298" s="232"/>
      <c r="E298" s="309" t="s">
        <v>208</v>
      </c>
      <c r="F298" s="409" t="s">
        <v>220</v>
      </c>
      <c r="G298" s="412"/>
      <c r="H298" s="295">
        <v>2021.0</v>
      </c>
      <c r="I298" s="295">
        <v>2026.0</v>
      </c>
      <c r="J298" s="296" t="s">
        <v>1187</v>
      </c>
      <c r="K298" s="297">
        <v>0.0</v>
      </c>
      <c r="L298" s="298" t="s">
        <v>693</v>
      </c>
      <c r="M298" s="299">
        <v>2020.0</v>
      </c>
      <c r="N298" s="398" t="s">
        <v>1166</v>
      </c>
      <c r="O298" s="301" t="s">
        <v>1188</v>
      </c>
      <c r="P298" s="302"/>
      <c r="Q298" s="303"/>
      <c r="R298" s="303"/>
      <c r="S298" s="303"/>
      <c r="T298" s="303"/>
      <c r="U298" s="304"/>
      <c r="V298" s="305"/>
      <c r="W298" s="306"/>
      <c r="X298" s="306"/>
      <c r="Y298" s="303"/>
      <c r="Z298" s="311"/>
      <c r="AA298" s="312"/>
    </row>
    <row r="299">
      <c r="A299" s="111">
        <v>356.0</v>
      </c>
      <c r="B299" s="291" t="s">
        <v>159</v>
      </c>
      <c r="C299" s="292" t="s">
        <v>343</v>
      </c>
      <c r="D299" s="232"/>
      <c r="E299" s="309" t="s">
        <v>383</v>
      </c>
      <c r="F299" s="417" t="s">
        <v>220</v>
      </c>
      <c r="G299" s="394"/>
      <c r="H299" s="295">
        <v>2021.0</v>
      </c>
      <c r="I299" s="295">
        <v>2026.0</v>
      </c>
      <c r="J299" s="432" t="s">
        <v>1189</v>
      </c>
      <c r="K299" s="297">
        <v>1.0</v>
      </c>
      <c r="L299" s="298" t="s">
        <v>693</v>
      </c>
      <c r="M299" s="299">
        <v>2020.0</v>
      </c>
      <c r="N299" s="398" t="s">
        <v>1166</v>
      </c>
      <c r="O299" s="301" t="s">
        <v>1190</v>
      </c>
      <c r="P299" s="302"/>
      <c r="Q299" s="303"/>
      <c r="R299" s="303"/>
      <c r="S299" s="303"/>
      <c r="T299" s="303"/>
      <c r="U299" s="304"/>
      <c r="V299" s="305"/>
      <c r="W299" s="306"/>
      <c r="X299" s="306"/>
      <c r="Y299" s="303"/>
      <c r="Z299" s="311"/>
      <c r="AA299" s="312"/>
    </row>
    <row r="300">
      <c r="A300" s="111">
        <v>357.0</v>
      </c>
      <c r="B300" s="280" t="s">
        <v>159</v>
      </c>
      <c r="C300" s="281" t="s">
        <v>343</v>
      </c>
      <c r="D300" s="232"/>
      <c r="E300" s="313" t="s">
        <v>383</v>
      </c>
      <c r="F300" s="282" t="s">
        <v>720</v>
      </c>
      <c r="G300" s="324"/>
      <c r="H300" s="284">
        <v>2021.0</v>
      </c>
      <c r="I300" s="284">
        <v>2030.0</v>
      </c>
      <c r="J300" s="285" t="s">
        <v>1191</v>
      </c>
      <c r="K300" s="286" t="s">
        <v>1192</v>
      </c>
      <c r="L300" s="286" t="s">
        <v>1193</v>
      </c>
      <c r="M300" s="250">
        <v>2020.0</v>
      </c>
      <c r="N300" s="398" t="s">
        <v>1166</v>
      </c>
      <c r="O300" s="220" t="s">
        <v>1190</v>
      </c>
      <c r="P300" s="289"/>
      <c r="Q300" s="275"/>
      <c r="R300" s="275"/>
      <c r="S300" s="275"/>
      <c r="T300" s="275"/>
      <c r="U300" s="290"/>
      <c r="V300" s="273"/>
      <c r="W300" s="274"/>
      <c r="X300" s="274"/>
      <c r="Y300" s="275"/>
      <c r="Z300" s="311"/>
      <c r="AA300" s="317"/>
    </row>
    <row r="301">
      <c r="A301" s="111">
        <v>358.0</v>
      </c>
      <c r="B301" s="232" t="s">
        <v>159</v>
      </c>
      <c r="C301" s="233" t="s">
        <v>343</v>
      </c>
      <c r="D301" s="232"/>
      <c r="E301" s="252" t="s">
        <v>208</v>
      </c>
      <c r="F301" s="293" t="s">
        <v>263</v>
      </c>
      <c r="G301" s="115" t="s">
        <v>264</v>
      </c>
      <c r="H301" s="131">
        <v>2021.0</v>
      </c>
      <c r="I301" s="131">
        <v>2030.0</v>
      </c>
      <c r="J301" s="236" t="s">
        <v>1194</v>
      </c>
      <c r="K301" s="237">
        <v>0.55</v>
      </c>
      <c r="L301" s="238" t="s">
        <v>693</v>
      </c>
      <c r="M301" s="250">
        <v>2020.0</v>
      </c>
      <c r="N301" s="240" t="s">
        <v>1166</v>
      </c>
      <c r="O301" s="232" t="s">
        <v>1190</v>
      </c>
      <c r="P301" s="241">
        <v>2019.0</v>
      </c>
      <c r="Q301" s="242"/>
      <c r="R301" s="242"/>
      <c r="S301" s="238" t="s">
        <v>693</v>
      </c>
      <c r="T301" s="240" t="s">
        <v>1166</v>
      </c>
      <c r="U301" s="238" t="s">
        <v>1195</v>
      </c>
      <c r="V301" s="243"/>
      <c r="W301" s="130"/>
      <c r="X301" s="274"/>
      <c r="Y301" s="242"/>
      <c r="Z301" s="244"/>
      <c r="AA301" s="130"/>
    </row>
    <row r="302">
      <c r="A302" s="111">
        <v>359.0</v>
      </c>
      <c r="B302" s="232" t="s">
        <v>159</v>
      </c>
      <c r="C302" s="233" t="s">
        <v>343</v>
      </c>
      <c r="D302" s="232"/>
      <c r="E302" s="252" t="s">
        <v>208</v>
      </c>
      <c r="F302" s="293" t="s">
        <v>263</v>
      </c>
      <c r="G302" s="115" t="s">
        <v>280</v>
      </c>
      <c r="H302" s="131">
        <v>2021.0</v>
      </c>
      <c r="I302" s="131">
        <v>2026.0</v>
      </c>
      <c r="J302" s="236" t="s">
        <v>1196</v>
      </c>
      <c r="K302" s="237">
        <v>0.5</v>
      </c>
      <c r="L302" s="238" t="s">
        <v>693</v>
      </c>
      <c r="M302" s="250">
        <v>2020.0</v>
      </c>
      <c r="N302" s="240" t="s">
        <v>1166</v>
      </c>
      <c r="O302" s="232" t="s">
        <v>1190</v>
      </c>
      <c r="P302" s="241">
        <v>2019.0</v>
      </c>
      <c r="Q302" s="242"/>
      <c r="R302" s="242"/>
      <c r="S302" s="238" t="s">
        <v>693</v>
      </c>
      <c r="T302" s="240" t="s">
        <v>1166</v>
      </c>
      <c r="U302" s="238" t="s">
        <v>1195</v>
      </c>
      <c r="V302" s="129">
        <v>2026.0</v>
      </c>
      <c r="W302" s="236" t="s">
        <v>1196</v>
      </c>
      <c r="X302" s="422">
        <v>0.551</v>
      </c>
      <c r="Y302" s="238" t="s">
        <v>1197</v>
      </c>
      <c r="Z302" s="279" t="s">
        <v>1198</v>
      </c>
      <c r="AA302" s="232" t="s">
        <v>1199</v>
      </c>
    </row>
    <row r="303">
      <c r="A303" s="111">
        <v>361.0</v>
      </c>
      <c r="B303" s="232" t="s">
        <v>159</v>
      </c>
      <c r="C303" s="233" t="s">
        <v>343</v>
      </c>
      <c r="D303" s="232"/>
      <c r="E303" s="252" t="s">
        <v>231</v>
      </c>
      <c r="F303" s="293" t="s">
        <v>258</v>
      </c>
      <c r="G303" s="115" t="s">
        <v>494</v>
      </c>
      <c r="H303" s="131">
        <v>2021.0</v>
      </c>
      <c r="I303" s="131">
        <v>2026.0</v>
      </c>
      <c r="J303" s="245" t="s">
        <v>1200</v>
      </c>
      <c r="K303" s="237">
        <v>1.0</v>
      </c>
      <c r="L303" s="238" t="s">
        <v>693</v>
      </c>
      <c r="M303" s="250">
        <v>2020.0</v>
      </c>
      <c r="N303" s="240" t="s">
        <v>1166</v>
      </c>
      <c r="O303" s="232" t="s">
        <v>1190</v>
      </c>
      <c r="P303" s="246"/>
      <c r="Q303" s="242"/>
      <c r="R303" s="242"/>
      <c r="S303" s="242"/>
      <c r="T303" s="242"/>
      <c r="U303" s="242"/>
      <c r="V303" s="243"/>
      <c r="W303" s="130"/>
      <c r="X303" s="130"/>
      <c r="Y303" s="242"/>
      <c r="Z303" s="244"/>
      <c r="AA303" s="130"/>
    </row>
    <row r="304">
      <c r="A304" s="111">
        <v>365.0</v>
      </c>
      <c r="B304" s="232" t="s">
        <v>159</v>
      </c>
      <c r="C304" s="233" t="s">
        <v>207</v>
      </c>
      <c r="D304" s="232"/>
      <c r="E304" s="252" t="s">
        <v>383</v>
      </c>
      <c r="F304" s="433" t="s">
        <v>461</v>
      </c>
      <c r="G304" s="271"/>
      <c r="H304" s="131">
        <v>2021.0</v>
      </c>
      <c r="I304" s="131">
        <v>2023.0</v>
      </c>
      <c r="J304" s="427" t="s">
        <v>1201</v>
      </c>
      <c r="K304" s="238" t="s">
        <v>874</v>
      </c>
      <c r="L304" s="238" t="s">
        <v>874</v>
      </c>
      <c r="M304" s="250">
        <v>2020.0</v>
      </c>
      <c r="N304" s="240" t="s">
        <v>1166</v>
      </c>
      <c r="O304" s="232" t="s">
        <v>1202</v>
      </c>
      <c r="P304" s="246"/>
      <c r="Q304" s="242"/>
      <c r="R304" s="242"/>
      <c r="S304" s="242"/>
      <c r="T304" s="242"/>
      <c r="U304" s="242"/>
      <c r="V304" s="144">
        <v>2023.0</v>
      </c>
      <c r="W304" s="111" t="s">
        <v>1201</v>
      </c>
      <c r="X304" s="247">
        <v>0.97</v>
      </c>
      <c r="Y304" s="238" t="s">
        <v>1203</v>
      </c>
      <c r="Z304" s="279" t="s">
        <v>1204</v>
      </c>
      <c r="AA304" s="232" t="s">
        <v>1205</v>
      </c>
    </row>
    <row r="305">
      <c r="A305" s="111">
        <v>367.0</v>
      </c>
      <c r="B305" s="232" t="s">
        <v>159</v>
      </c>
      <c r="C305" s="233" t="s">
        <v>343</v>
      </c>
      <c r="D305" s="232"/>
      <c r="E305" s="252" t="s">
        <v>208</v>
      </c>
      <c r="F305" s="282" t="s">
        <v>267</v>
      </c>
      <c r="G305" s="271"/>
      <c r="H305" s="131">
        <v>2023.0</v>
      </c>
      <c r="I305" s="131">
        <v>2030.0</v>
      </c>
      <c r="J305" s="236" t="s">
        <v>1206</v>
      </c>
      <c r="K305" s="237">
        <v>1.0</v>
      </c>
      <c r="L305" s="238" t="s">
        <v>693</v>
      </c>
      <c r="M305" s="250">
        <v>2023.0</v>
      </c>
      <c r="N305" s="248" t="s">
        <v>1207</v>
      </c>
      <c r="O305" s="232" t="s">
        <v>1208</v>
      </c>
      <c r="P305" s="246"/>
      <c r="Q305" s="242"/>
      <c r="R305" s="242"/>
      <c r="S305" s="242"/>
      <c r="T305" s="242"/>
      <c r="U305" s="242"/>
      <c r="V305" s="243"/>
      <c r="W305" s="130"/>
      <c r="X305" s="130"/>
      <c r="Y305" s="242"/>
      <c r="Z305" s="244"/>
      <c r="AA305" s="130"/>
    </row>
    <row r="306">
      <c r="A306" s="111">
        <v>369.0</v>
      </c>
      <c r="B306" s="115" t="s">
        <v>164</v>
      </c>
      <c r="C306" s="62" t="s">
        <v>274</v>
      </c>
      <c r="D306" s="115"/>
      <c r="E306" s="62" t="s">
        <v>208</v>
      </c>
      <c r="F306" s="184" t="s">
        <v>209</v>
      </c>
      <c r="G306" s="134"/>
      <c r="H306" s="115">
        <v>2012.0</v>
      </c>
      <c r="I306" s="115">
        <v>2020.0</v>
      </c>
      <c r="J306" s="221" t="s">
        <v>1209</v>
      </c>
      <c r="K306" s="137"/>
      <c r="L306" s="115"/>
      <c r="M306" s="139">
        <v>2015.0</v>
      </c>
      <c r="N306" s="115" t="s">
        <v>256</v>
      </c>
      <c r="O306" s="155"/>
      <c r="P306" s="132"/>
      <c r="Q306" s="155"/>
      <c r="R306" s="155"/>
      <c r="S306" s="155"/>
      <c r="T306" s="155"/>
      <c r="U306" s="155"/>
      <c r="V306" s="132">
        <v>2022.0</v>
      </c>
      <c r="W306" s="115" t="s">
        <v>1210</v>
      </c>
      <c r="X306" s="155"/>
      <c r="Y306" s="155"/>
      <c r="Z306" s="155"/>
      <c r="AA306" s="115" t="s">
        <v>1211</v>
      </c>
    </row>
    <row r="307">
      <c r="A307" s="111">
        <v>370.0</v>
      </c>
      <c r="B307" s="115" t="s">
        <v>164</v>
      </c>
      <c r="C307" s="62" t="s">
        <v>219</v>
      </c>
      <c r="D307" s="115"/>
      <c r="E307" s="62" t="s">
        <v>231</v>
      </c>
      <c r="F307" s="160" t="s">
        <v>209</v>
      </c>
      <c r="G307" s="134"/>
      <c r="H307" s="115">
        <v>2015.0</v>
      </c>
      <c r="I307" s="115">
        <v>2020.0</v>
      </c>
      <c r="J307" s="221" t="s">
        <v>1212</v>
      </c>
      <c r="K307" s="137"/>
      <c r="L307" s="115"/>
      <c r="M307" s="139">
        <v>2015.0</v>
      </c>
      <c r="N307" s="115" t="s">
        <v>256</v>
      </c>
      <c r="O307" s="155"/>
      <c r="P307" s="132"/>
      <c r="Q307" s="155"/>
      <c r="R307" s="155"/>
      <c r="S307" s="155"/>
      <c r="T307" s="155"/>
      <c r="U307" s="155"/>
      <c r="V307" s="337"/>
      <c r="W307" s="155"/>
      <c r="X307" s="155"/>
      <c r="Y307" s="155"/>
      <c r="Z307" s="155"/>
      <c r="AA307" s="115" t="s">
        <v>1213</v>
      </c>
    </row>
    <row r="308">
      <c r="A308" s="111">
        <v>371.0</v>
      </c>
      <c r="B308" s="115" t="s">
        <v>164</v>
      </c>
      <c r="C308" s="62" t="s">
        <v>274</v>
      </c>
      <c r="D308" s="115"/>
      <c r="E308" s="62" t="s">
        <v>208</v>
      </c>
      <c r="F308" s="160" t="s">
        <v>220</v>
      </c>
      <c r="G308" s="115" t="s">
        <v>251</v>
      </c>
      <c r="H308" s="115">
        <v>2017.0</v>
      </c>
      <c r="I308" s="115">
        <v>2022.0</v>
      </c>
      <c r="J308" s="221" t="s">
        <v>1214</v>
      </c>
      <c r="K308" s="137">
        <v>0.5</v>
      </c>
      <c r="L308" s="115" t="s">
        <v>1215</v>
      </c>
      <c r="M308" s="139">
        <v>2017.0</v>
      </c>
      <c r="N308" s="115" t="s">
        <v>1216</v>
      </c>
      <c r="O308" s="155"/>
      <c r="P308" s="132"/>
      <c r="Q308" s="155"/>
      <c r="R308" s="155"/>
      <c r="S308" s="155"/>
      <c r="T308" s="155"/>
      <c r="U308" s="155"/>
      <c r="V308" s="132">
        <v>2022.0</v>
      </c>
      <c r="W308" s="115" t="s">
        <v>1217</v>
      </c>
      <c r="X308" s="115">
        <v>93.0</v>
      </c>
      <c r="Y308" s="115" t="s">
        <v>693</v>
      </c>
      <c r="Z308" s="115" t="s">
        <v>1218</v>
      </c>
      <c r="AA308" s="115" t="s">
        <v>1219</v>
      </c>
    </row>
    <row r="309">
      <c r="A309" s="111">
        <v>372.0</v>
      </c>
      <c r="B309" s="115" t="s">
        <v>164</v>
      </c>
      <c r="C309" s="62" t="s">
        <v>207</v>
      </c>
      <c r="D309" s="115"/>
      <c r="E309" s="62" t="s">
        <v>231</v>
      </c>
      <c r="F309" s="160" t="s">
        <v>220</v>
      </c>
      <c r="G309" s="134"/>
      <c r="H309" s="115">
        <v>2017.0</v>
      </c>
      <c r="I309" s="115">
        <v>2018.0</v>
      </c>
      <c r="J309" s="221" t="s">
        <v>1220</v>
      </c>
      <c r="K309" s="137">
        <v>0.06</v>
      </c>
      <c r="L309" s="115" t="s">
        <v>1221</v>
      </c>
      <c r="M309" s="139">
        <v>2017.0</v>
      </c>
      <c r="N309" s="115" t="s">
        <v>1216</v>
      </c>
      <c r="O309" s="155"/>
      <c r="P309" s="132">
        <v>2017.0</v>
      </c>
      <c r="Q309" s="115" t="s">
        <v>1222</v>
      </c>
      <c r="R309" s="115">
        <v>3.0</v>
      </c>
      <c r="S309" s="115" t="s">
        <v>693</v>
      </c>
      <c r="T309" s="115" t="s">
        <v>1216</v>
      </c>
      <c r="U309" s="155"/>
      <c r="V309" s="132">
        <v>2018.0</v>
      </c>
      <c r="W309" s="115" t="s">
        <v>1223</v>
      </c>
      <c r="X309" s="137">
        <v>0.06</v>
      </c>
      <c r="Y309" s="115" t="s">
        <v>693</v>
      </c>
      <c r="Z309" s="115" t="s">
        <v>1224</v>
      </c>
      <c r="AA309" s="115" t="s">
        <v>1130</v>
      </c>
    </row>
    <row r="310">
      <c r="A310" s="111">
        <v>373.0</v>
      </c>
      <c r="B310" s="115" t="s">
        <v>164</v>
      </c>
      <c r="C310" s="62" t="s">
        <v>343</v>
      </c>
      <c r="D310" s="115"/>
      <c r="E310" s="62" t="s">
        <v>208</v>
      </c>
      <c r="F310" s="160" t="s">
        <v>220</v>
      </c>
      <c r="G310" s="115" t="s">
        <v>251</v>
      </c>
      <c r="H310" s="115">
        <v>2022.0</v>
      </c>
      <c r="I310" s="115">
        <v>2025.0</v>
      </c>
      <c r="J310" s="221" t="s">
        <v>291</v>
      </c>
      <c r="K310" s="137">
        <v>1.0</v>
      </c>
      <c r="L310" s="115"/>
      <c r="M310" s="139">
        <v>2022.0</v>
      </c>
      <c r="N310" s="115" t="s">
        <v>1225</v>
      </c>
      <c r="O310" s="155"/>
      <c r="P310" s="132">
        <v>2022.0</v>
      </c>
      <c r="Q310" s="115" t="s">
        <v>1226</v>
      </c>
      <c r="R310" s="115">
        <v>93.0</v>
      </c>
      <c r="S310" s="115" t="s">
        <v>693</v>
      </c>
      <c r="T310" s="115" t="s">
        <v>1216</v>
      </c>
      <c r="U310" s="155"/>
      <c r="V310" s="132">
        <v>2024.0</v>
      </c>
      <c r="W310" s="115" t="s">
        <v>1227</v>
      </c>
      <c r="X310" s="115">
        <v>94.0</v>
      </c>
      <c r="Y310" s="115" t="s">
        <v>693</v>
      </c>
      <c r="Z310" s="115" t="s">
        <v>1228</v>
      </c>
      <c r="AA310" s="155"/>
    </row>
    <row r="311">
      <c r="A311" s="111">
        <v>374.0</v>
      </c>
      <c r="B311" s="115" t="s">
        <v>164</v>
      </c>
      <c r="C311" s="62" t="s">
        <v>343</v>
      </c>
      <c r="D311" s="115"/>
      <c r="E311" s="62" t="s">
        <v>208</v>
      </c>
      <c r="F311" s="160" t="s">
        <v>220</v>
      </c>
      <c r="G311" s="134"/>
      <c r="H311" s="115">
        <v>2022.0</v>
      </c>
      <c r="I311" s="115">
        <v>2025.0</v>
      </c>
      <c r="J311" s="221" t="s">
        <v>1229</v>
      </c>
      <c r="K311" s="137">
        <v>1.0</v>
      </c>
      <c r="L311" s="115"/>
      <c r="M311" s="139">
        <v>2022.0</v>
      </c>
      <c r="N311" s="115" t="s">
        <v>1225</v>
      </c>
      <c r="O311" s="155"/>
      <c r="P311" s="132"/>
      <c r="Q311" s="115"/>
      <c r="R311" s="115"/>
      <c r="S311" s="115"/>
      <c r="T311" s="115"/>
      <c r="U311" s="155"/>
      <c r="V311" s="132">
        <v>2024.0</v>
      </c>
      <c r="W311" s="115" t="s">
        <v>1230</v>
      </c>
      <c r="X311" s="115">
        <v>68.0</v>
      </c>
      <c r="Y311" s="115" t="s">
        <v>693</v>
      </c>
      <c r="Z311" s="115" t="s">
        <v>1228</v>
      </c>
      <c r="AA311" s="155"/>
    </row>
    <row r="312">
      <c r="A312" s="111">
        <v>375.0</v>
      </c>
      <c r="B312" s="115" t="s">
        <v>164</v>
      </c>
      <c r="C312" s="62" t="s">
        <v>343</v>
      </c>
      <c r="D312" s="115"/>
      <c r="E312" s="62" t="s">
        <v>208</v>
      </c>
      <c r="F312" s="160" t="s">
        <v>220</v>
      </c>
      <c r="G312" s="134"/>
      <c r="H312" s="115">
        <v>2022.0</v>
      </c>
      <c r="I312" s="115">
        <v>2025.0</v>
      </c>
      <c r="J312" s="221" t="s">
        <v>1231</v>
      </c>
      <c r="K312" s="137">
        <v>1.0</v>
      </c>
      <c r="L312" s="115"/>
      <c r="M312" s="139">
        <v>2022.0</v>
      </c>
      <c r="N312" s="115" t="s">
        <v>1225</v>
      </c>
      <c r="O312" s="155"/>
      <c r="P312" s="132">
        <v>2022.0</v>
      </c>
      <c r="Q312" s="115" t="s">
        <v>1232</v>
      </c>
      <c r="R312" s="115">
        <v>8.0</v>
      </c>
      <c r="S312" s="115" t="s">
        <v>693</v>
      </c>
      <c r="T312" s="115" t="s">
        <v>1233</v>
      </c>
      <c r="U312" s="155"/>
      <c r="V312" s="132">
        <v>2024.0</v>
      </c>
      <c r="W312" s="115" t="s">
        <v>1234</v>
      </c>
      <c r="X312" s="115">
        <v>78.0</v>
      </c>
      <c r="Y312" s="115" t="s">
        <v>693</v>
      </c>
      <c r="Z312" s="115" t="s">
        <v>1228</v>
      </c>
      <c r="AA312" s="155"/>
    </row>
    <row r="313">
      <c r="A313" s="111">
        <v>376.0</v>
      </c>
      <c r="B313" s="115" t="s">
        <v>164</v>
      </c>
      <c r="C313" s="62" t="s">
        <v>343</v>
      </c>
      <c r="D313" s="115"/>
      <c r="E313" s="62" t="s">
        <v>231</v>
      </c>
      <c r="F313" s="62" t="s">
        <v>220</v>
      </c>
      <c r="G313" s="134"/>
      <c r="H313" s="115">
        <v>2025.0</v>
      </c>
      <c r="I313" s="115">
        <v>2030.0</v>
      </c>
      <c r="J313" s="221" t="s">
        <v>1235</v>
      </c>
      <c r="K313" s="137">
        <v>1.0</v>
      </c>
      <c r="L313" s="115" t="s">
        <v>1236</v>
      </c>
      <c r="M313" s="128">
        <v>2025.0</v>
      </c>
      <c r="N313" s="136" t="s">
        <v>1237</v>
      </c>
      <c r="O313" s="155"/>
      <c r="P313" s="337"/>
      <c r="Q313" s="155"/>
      <c r="R313" s="155"/>
      <c r="S313" s="155"/>
      <c r="T313" s="155"/>
      <c r="U313" s="155"/>
      <c r="V313" s="132">
        <v>2024.0</v>
      </c>
      <c r="W313" s="115" t="s">
        <v>1238</v>
      </c>
      <c r="X313" s="115">
        <v>70.0</v>
      </c>
      <c r="Y313" s="115" t="s">
        <v>693</v>
      </c>
      <c r="Z313" s="155"/>
      <c r="AA313" s="155"/>
    </row>
    <row r="314">
      <c r="A314" s="111">
        <v>377.0</v>
      </c>
      <c r="B314" s="115" t="s">
        <v>164</v>
      </c>
      <c r="C314" s="62" t="s">
        <v>343</v>
      </c>
      <c r="D314" s="115"/>
      <c r="E314" s="62" t="s">
        <v>208</v>
      </c>
      <c r="F314" s="173" t="s">
        <v>263</v>
      </c>
      <c r="G314" s="115" t="s">
        <v>280</v>
      </c>
      <c r="H314" s="115">
        <v>2025.0</v>
      </c>
      <c r="I314" s="115">
        <v>2030.0</v>
      </c>
      <c r="J314" s="221" t="s">
        <v>1239</v>
      </c>
      <c r="K314" s="133" t="s">
        <v>1240</v>
      </c>
      <c r="L314" s="115" t="s">
        <v>263</v>
      </c>
      <c r="M314" s="139">
        <v>2025.0</v>
      </c>
      <c r="N314" s="115" t="s">
        <v>1237</v>
      </c>
      <c r="O314" s="155"/>
      <c r="P314" s="337"/>
      <c r="Q314" s="155"/>
      <c r="R314" s="155"/>
      <c r="S314" s="155"/>
      <c r="T314" s="155"/>
      <c r="U314" s="155"/>
      <c r="V314" s="337"/>
      <c r="W314" s="155"/>
      <c r="X314" s="155"/>
      <c r="Y314" s="155"/>
      <c r="Z314" s="155"/>
      <c r="AA314" s="155"/>
    </row>
    <row r="315">
      <c r="A315" s="111">
        <v>378.0</v>
      </c>
      <c r="B315" s="115" t="s">
        <v>164</v>
      </c>
      <c r="C315" s="62" t="s">
        <v>343</v>
      </c>
      <c r="D315" s="115"/>
      <c r="E315" s="62" t="s">
        <v>208</v>
      </c>
      <c r="F315" s="160" t="s">
        <v>267</v>
      </c>
      <c r="G315" s="134"/>
      <c r="H315" s="115">
        <v>2025.0</v>
      </c>
      <c r="I315" s="115">
        <v>2030.0</v>
      </c>
      <c r="J315" s="221" t="s">
        <v>1241</v>
      </c>
      <c r="K315" s="137">
        <v>0.25</v>
      </c>
      <c r="L315" s="115"/>
      <c r="M315" s="139">
        <v>2025.0</v>
      </c>
      <c r="N315" s="115" t="s">
        <v>1237</v>
      </c>
      <c r="O315" s="155"/>
      <c r="P315" s="132">
        <v>2019.0</v>
      </c>
      <c r="Q315" s="155"/>
      <c r="R315" s="155"/>
      <c r="S315" s="155"/>
      <c r="T315" s="155"/>
      <c r="U315" s="155"/>
      <c r="V315" s="337"/>
      <c r="W315" s="155"/>
      <c r="X315" s="155"/>
      <c r="Y315" s="155"/>
      <c r="Z315" s="155"/>
      <c r="AA315" s="115" t="s">
        <v>1242</v>
      </c>
    </row>
    <row r="316">
      <c r="A316" s="111">
        <v>379.0</v>
      </c>
      <c r="B316" s="130" t="s">
        <v>166</v>
      </c>
      <c r="C316" s="251" t="s">
        <v>343</v>
      </c>
      <c r="D316" s="130"/>
      <c r="E316" s="252" t="s">
        <v>208</v>
      </c>
      <c r="F316" s="417" t="s">
        <v>263</v>
      </c>
      <c r="G316" s="115" t="s">
        <v>280</v>
      </c>
      <c r="H316" s="131">
        <v>2020.0</v>
      </c>
      <c r="I316" s="254">
        <v>2030.0</v>
      </c>
      <c r="J316" s="255" t="s">
        <v>1243</v>
      </c>
      <c r="K316" s="254">
        <v>2813.71</v>
      </c>
      <c r="L316" s="130" t="s">
        <v>370</v>
      </c>
      <c r="M316" s="257">
        <v>2020.0</v>
      </c>
      <c r="N316" s="244" t="s">
        <v>1244</v>
      </c>
      <c r="O316" s="130" t="s">
        <v>1245</v>
      </c>
      <c r="P316" s="243">
        <v>2019.0</v>
      </c>
      <c r="Q316" s="242"/>
      <c r="R316" s="232">
        <v>9379.05</v>
      </c>
      <c r="S316" s="130" t="s">
        <v>370</v>
      </c>
      <c r="T316" s="244" t="s">
        <v>1244</v>
      </c>
      <c r="U316" s="130" t="s">
        <v>1246</v>
      </c>
      <c r="V316" s="246"/>
      <c r="W316" s="242"/>
      <c r="X316" s="242"/>
      <c r="Y316" s="242"/>
      <c r="AA316" s="115" t="s">
        <v>1247</v>
      </c>
    </row>
    <row r="317">
      <c r="A317" s="111">
        <v>380.0</v>
      </c>
      <c r="B317" s="122" t="s">
        <v>166</v>
      </c>
      <c r="C317" s="258" t="s">
        <v>343</v>
      </c>
      <c r="D317" s="122"/>
      <c r="E317" s="113" t="s">
        <v>208</v>
      </c>
      <c r="F317" s="409" t="s">
        <v>263</v>
      </c>
      <c r="G317" s="115" t="s">
        <v>280</v>
      </c>
      <c r="H317" s="116">
        <v>2020.0</v>
      </c>
      <c r="I317" s="121">
        <v>2030.0</v>
      </c>
      <c r="J317" s="265" t="s">
        <v>1248</v>
      </c>
      <c r="K317" s="121">
        <v>120400.0</v>
      </c>
      <c r="L317" s="122" t="s">
        <v>370</v>
      </c>
      <c r="M317" s="117">
        <v>2020.0</v>
      </c>
      <c r="N317" s="123" t="s">
        <v>1244</v>
      </c>
      <c r="O317" s="122" t="s">
        <v>1249</v>
      </c>
      <c r="P317" s="144">
        <v>2019.0</v>
      </c>
      <c r="Q317" s="120"/>
      <c r="R317" s="121">
        <v>140000.0</v>
      </c>
      <c r="S317" s="122" t="s">
        <v>370</v>
      </c>
      <c r="T317" s="123" t="s">
        <v>1244</v>
      </c>
      <c r="U317" s="122" t="s">
        <v>1249</v>
      </c>
      <c r="V317" s="263"/>
      <c r="W317" s="120"/>
      <c r="X317" s="120"/>
      <c r="Y317" s="120"/>
      <c r="AA317" s="115" t="s">
        <v>1247</v>
      </c>
    </row>
    <row r="318">
      <c r="A318" s="111">
        <v>381.0</v>
      </c>
      <c r="B318" s="115" t="s">
        <v>166</v>
      </c>
      <c r="C318" s="62" t="s">
        <v>207</v>
      </c>
      <c r="D318" s="115"/>
      <c r="E318" s="62" t="s">
        <v>231</v>
      </c>
      <c r="F318" s="173" t="s">
        <v>263</v>
      </c>
      <c r="G318" s="115" t="s">
        <v>280</v>
      </c>
      <c r="H318" s="115">
        <v>2020.0</v>
      </c>
      <c r="I318" s="174">
        <v>2021.0</v>
      </c>
      <c r="J318" s="221" t="s">
        <v>1250</v>
      </c>
      <c r="K318" s="155"/>
      <c r="L318" s="115" t="s">
        <v>693</v>
      </c>
      <c r="M318" s="257">
        <v>2020.0</v>
      </c>
      <c r="N318" s="244" t="s">
        <v>1244</v>
      </c>
      <c r="O318" s="115" t="s">
        <v>1251</v>
      </c>
      <c r="P318" s="337"/>
      <c r="Q318" s="155"/>
      <c r="R318" s="155"/>
      <c r="S318" s="155"/>
      <c r="T318" s="123" t="s">
        <v>1244</v>
      </c>
      <c r="U318" s="155"/>
      <c r="V318" s="132">
        <v>2024.0</v>
      </c>
      <c r="W318" s="137"/>
      <c r="X318" s="137">
        <v>1.0</v>
      </c>
      <c r="Y318" s="115" t="s">
        <v>693</v>
      </c>
      <c r="Z318" s="136" t="s">
        <v>1252</v>
      </c>
      <c r="AA318" s="155"/>
    </row>
    <row r="319">
      <c r="A319" s="111">
        <v>382.0</v>
      </c>
      <c r="B319" s="115" t="s">
        <v>166</v>
      </c>
      <c r="C319" s="62" t="s">
        <v>207</v>
      </c>
      <c r="D319" s="115"/>
      <c r="E319" s="62" t="s">
        <v>208</v>
      </c>
      <c r="F319" s="62" t="s">
        <v>258</v>
      </c>
      <c r="G319" s="115" t="s">
        <v>494</v>
      </c>
      <c r="H319" s="115">
        <v>2019.0</v>
      </c>
      <c r="I319" s="115">
        <v>2020.0</v>
      </c>
      <c r="J319" s="221" t="s">
        <v>1253</v>
      </c>
      <c r="K319" s="137">
        <v>0.5</v>
      </c>
      <c r="L319" s="115" t="s">
        <v>693</v>
      </c>
      <c r="M319" s="434">
        <v>2019.0</v>
      </c>
      <c r="N319" s="435" t="s">
        <v>1254</v>
      </c>
      <c r="O319" s="115" t="s">
        <v>1255</v>
      </c>
      <c r="P319" s="132">
        <v>2020.0</v>
      </c>
      <c r="Q319" s="155"/>
      <c r="R319" s="137">
        <v>0.5</v>
      </c>
      <c r="S319" s="115" t="s">
        <v>693</v>
      </c>
      <c r="T319" s="123" t="s">
        <v>1244</v>
      </c>
      <c r="U319" s="155"/>
      <c r="V319" s="132">
        <v>2020.0</v>
      </c>
      <c r="W319" s="115" t="s">
        <v>1253</v>
      </c>
      <c r="X319" s="137">
        <v>0.5</v>
      </c>
      <c r="Y319" s="155"/>
      <c r="Z319" s="436" t="s">
        <v>1244</v>
      </c>
      <c r="AA319" s="115" t="s">
        <v>1255</v>
      </c>
    </row>
    <row r="320">
      <c r="A320" s="111">
        <v>383.0</v>
      </c>
      <c r="B320" s="115" t="s">
        <v>166</v>
      </c>
      <c r="C320" s="62" t="s">
        <v>207</v>
      </c>
      <c r="D320" s="115"/>
      <c r="E320" s="62" t="s">
        <v>208</v>
      </c>
      <c r="F320" s="62" t="s">
        <v>258</v>
      </c>
      <c r="G320" s="115" t="s">
        <v>494</v>
      </c>
      <c r="H320" s="115">
        <v>2020.0</v>
      </c>
      <c r="I320" s="115">
        <v>2023.0</v>
      </c>
      <c r="J320" s="221" t="s">
        <v>1256</v>
      </c>
      <c r="K320" s="137">
        <v>1.0</v>
      </c>
      <c r="L320" s="115" t="s">
        <v>693</v>
      </c>
      <c r="M320" s="257">
        <v>2020.0</v>
      </c>
      <c r="N320" s="244" t="s">
        <v>1244</v>
      </c>
      <c r="O320" s="115" t="s">
        <v>1255</v>
      </c>
      <c r="P320" s="337"/>
      <c r="Q320" s="155"/>
      <c r="R320" s="155"/>
      <c r="S320" s="155"/>
      <c r="T320" s="155"/>
      <c r="U320" s="155"/>
      <c r="V320" s="132">
        <v>2023.0</v>
      </c>
      <c r="W320" s="155"/>
      <c r="X320" s="115" t="s">
        <v>1257</v>
      </c>
      <c r="Y320" s="155"/>
      <c r="Z320" s="136" t="s">
        <v>1258</v>
      </c>
      <c r="AA320" s="115" t="s">
        <v>1259</v>
      </c>
    </row>
    <row r="321">
      <c r="A321" s="111">
        <v>384.0</v>
      </c>
      <c r="B321" s="115" t="s">
        <v>166</v>
      </c>
      <c r="C321" s="62" t="s">
        <v>274</v>
      </c>
      <c r="E321" s="62" t="s">
        <v>231</v>
      </c>
      <c r="F321" s="62" t="s">
        <v>263</v>
      </c>
      <c r="G321" s="115"/>
      <c r="H321" s="115">
        <v>2020.0</v>
      </c>
      <c r="I321" s="115">
        <v>2021.0</v>
      </c>
      <c r="J321" s="221" t="s">
        <v>1260</v>
      </c>
      <c r="K321" s="137">
        <v>0.65</v>
      </c>
      <c r="L321" s="115" t="s">
        <v>693</v>
      </c>
      <c r="M321" s="257">
        <v>2020.0</v>
      </c>
      <c r="N321" s="244" t="s">
        <v>1244</v>
      </c>
      <c r="O321" s="115" t="s">
        <v>1255</v>
      </c>
      <c r="P321" s="132">
        <v>2020.0</v>
      </c>
      <c r="Q321" s="115" t="s">
        <v>1261</v>
      </c>
      <c r="R321" s="137">
        <v>0.35</v>
      </c>
      <c r="S321" s="115" t="s">
        <v>693</v>
      </c>
      <c r="T321" s="123" t="s">
        <v>1244</v>
      </c>
      <c r="U321" s="115" t="s">
        <v>1255</v>
      </c>
      <c r="V321" s="132">
        <v>2021.0</v>
      </c>
      <c r="W321" s="155"/>
      <c r="X321" s="115" t="s">
        <v>1262</v>
      </c>
      <c r="Y321" s="115" t="s">
        <v>693</v>
      </c>
      <c r="Z321" s="136" t="s">
        <v>1263</v>
      </c>
      <c r="AA321" s="115" t="s">
        <v>1264</v>
      </c>
    </row>
    <row r="322">
      <c r="A322" s="111">
        <v>387.0</v>
      </c>
      <c r="B322" s="115" t="s">
        <v>166</v>
      </c>
      <c r="C322" s="62" t="s">
        <v>343</v>
      </c>
      <c r="D322" s="115"/>
      <c r="E322" s="62" t="s">
        <v>208</v>
      </c>
      <c r="F322" s="62" t="s">
        <v>220</v>
      </c>
      <c r="G322" s="134"/>
      <c r="H322" s="115">
        <v>2020.0</v>
      </c>
      <c r="I322" s="115">
        <v>2025.0</v>
      </c>
      <c r="J322" s="221" t="s">
        <v>1265</v>
      </c>
      <c r="K322" s="137">
        <v>0.5</v>
      </c>
      <c r="L322" s="115" t="s">
        <v>693</v>
      </c>
      <c r="M322" s="257">
        <v>2020.0</v>
      </c>
      <c r="N322" s="244" t="s">
        <v>1244</v>
      </c>
      <c r="O322" s="115" t="s">
        <v>1266</v>
      </c>
      <c r="P322" s="337"/>
      <c r="Q322" s="155"/>
      <c r="R322" s="155"/>
      <c r="S322" s="155"/>
      <c r="T322" s="155"/>
      <c r="U322" s="155"/>
      <c r="V322" s="132">
        <v>2024.0</v>
      </c>
      <c r="X322" s="125" t="s">
        <v>1267</v>
      </c>
      <c r="Y322" s="155"/>
      <c r="Z322" s="136" t="s">
        <v>1252</v>
      </c>
      <c r="AA322" s="115" t="s">
        <v>1268</v>
      </c>
    </row>
    <row r="323">
      <c r="A323" s="111">
        <v>388.0</v>
      </c>
      <c r="B323" s="127" t="s">
        <v>166</v>
      </c>
      <c r="C323" s="277" t="s">
        <v>207</v>
      </c>
      <c r="D323" s="127"/>
      <c r="E323" s="252" t="s">
        <v>208</v>
      </c>
      <c r="F323" s="339" t="s">
        <v>461</v>
      </c>
      <c r="G323" s="267"/>
      <c r="H323" s="135">
        <v>2020.0</v>
      </c>
      <c r="I323" s="135">
        <v>2021.0</v>
      </c>
      <c r="J323" s="255" t="s">
        <v>1269</v>
      </c>
      <c r="K323" s="242"/>
      <c r="L323" s="242"/>
      <c r="M323" s="437">
        <v>2020.0</v>
      </c>
      <c r="N323" s="438"/>
      <c r="O323" s="242"/>
      <c r="P323" s="246"/>
      <c r="Q323" s="242"/>
      <c r="R323" s="242"/>
      <c r="S323" s="242"/>
      <c r="T323" s="242"/>
      <c r="U323" s="242"/>
      <c r="V323" s="243">
        <v>2021.0</v>
      </c>
      <c r="W323" s="130" t="s">
        <v>1270</v>
      </c>
      <c r="X323" s="130" t="s">
        <v>1271</v>
      </c>
      <c r="Z323" s="244" t="s">
        <v>1263</v>
      </c>
      <c r="AA323" s="242"/>
    </row>
    <row r="324">
      <c r="A324" s="111">
        <v>389.0</v>
      </c>
      <c r="B324" s="122" t="s">
        <v>166</v>
      </c>
      <c r="C324" s="258" t="s">
        <v>219</v>
      </c>
      <c r="D324" s="122"/>
      <c r="E324" s="113" t="s">
        <v>231</v>
      </c>
      <c r="F324" s="259" t="s">
        <v>461</v>
      </c>
      <c r="G324" s="260"/>
      <c r="H324" s="121">
        <v>2020.0</v>
      </c>
      <c r="I324" s="121">
        <v>2023.0</v>
      </c>
      <c r="J324" s="261" t="s">
        <v>1272</v>
      </c>
      <c r="K324" s="262">
        <v>0.8</v>
      </c>
      <c r="L324" s="122" t="s">
        <v>693</v>
      </c>
      <c r="M324" s="117">
        <v>2020.0</v>
      </c>
      <c r="N324" s="123" t="s">
        <v>1244</v>
      </c>
      <c r="O324" s="122" t="s">
        <v>1255</v>
      </c>
      <c r="P324" s="144">
        <v>2021.0</v>
      </c>
      <c r="Q324" s="122" t="s">
        <v>1273</v>
      </c>
      <c r="R324" s="120"/>
      <c r="S324" s="120"/>
      <c r="T324" s="120"/>
      <c r="U324" s="122" t="s">
        <v>1274</v>
      </c>
      <c r="V324" s="144">
        <v>2023.0</v>
      </c>
      <c r="W324" s="122" t="s">
        <v>1275</v>
      </c>
      <c r="X324" s="122" t="s">
        <v>1276</v>
      </c>
      <c r="Z324" s="123" t="s">
        <v>1258</v>
      </c>
      <c r="AA324" s="120"/>
    </row>
    <row r="325">
      <c r="A325" s="111">
        <v>390.0</v>
      </c>
      <c r="B325" s="130" t="s">
        <v>166</v>
      </c>
      <c r="C325" s="251" t="s">
        <v>207</v>
      </c>
      <c r="D325" s="130"/>
      <c r="E325" s="252" t="s">
        <v>231</v>
      </c>
      <c r="F325" s="253" t="s">
        <v>461</v>
      </c>
      <c r="G325" s="267"/>
      <c r="H325" s="254">
        <v>2020.0</v>
      </c>
      <c r="I325" s="254">
        <v>2022.0</v>
      </c>
      <c r="J325" s="255" t="s">
        <v>1277</v>
      </c>
      <c r="K325" s="242"/>
      <c r="L325" s="242"/>
      <c r="M325" s="257">
        <v>2020.0</v>
      </c>
      <c r="N325" s="244" t="s">
        <v>1244</v>
      </c>
      <c r="O325" s="130" t="s">
        <v>1278</v>
      </c>
      <c r="P325" s="246"/>
      <c r="Q325" s="242"/>
      <c r="R325" s="242"/>
      <c r="S325" s="242"/>
      <c r="T325" s="242"/>
      <c r="U325" s="242"/>
      <c r="V325" s="243">
        <v>2022.0</v>
      </c>
      <c r="W325" s="130" t="s">
        <v>1279</v>
      </c>
      <c r="X325" s="242"/>
      <c r="Z325" s="244" t="s">
        <v>1280</v>
      </c>
      <c r="AA325" s="242"/>
    </row>
    <row r="326">
      <c r="A326" s="111">
        <v>391.0</v>
      </c>
      <c r="B326" s="122" t="s">
        <v>166</v>
      </c>
      <c r="C326" s="439" t="s">
        <v>219</v>
      </c>
      <c r="D326" s="122"/>
      <c r="E326" s="113" t="s">
        <v>231</v>
      </c>
      <c r="F326" s="259" t="s">
        <v>461</v>
      </c>
      <c r="G326" s="260"/>
      <c r="H326" s="121">
        <v>2020.0</v>
      </c>
      <c r="I326" s="121">
        <v>2024.0</v>
      </c>
      <c r="J326" s="261" t="s">
        <v>1281</v>
      </c>
      <c r="K326" s="120"/>
      <c r="L326" s="120"/>
      <c r="M326" s="117">
        <v>2020.0</v>
      </c>
      <c r="N326" s="123" t="s">
        <v>1244</v>
      </c>
      <c r="O326" s="122" t="s">
        <v>1255</v>
      </c>
      <c r="P326" s="263"/>
      <c r="Q326" s="120"/>
      <c r="R326" s="120"/>
      <c r="S326" s="120"/>
      <c r="T326" s="120"/>
      <c r="U326" s="120"/>
      <c r="V326" s="144">
        <v>2021.0</v>
      </c>
      <c r="W326" s="120"/>
      <c r="X326" s="122" t="s">
        <v>1282</v>
      </c>
      <c r="Z326" s="123" t="s">
        <v>1263</v>
      </c>
      <c r="AA326" s="122" t="s">
        <v>905</v>
      </c>
    </row>
    <row r="327">
      <c r="A327" s="111">
        <v>392.0</v>
      </c>
      <c r="B327" s="130" t="s">
        <v>166</v>
      </c>
      <c r="C327" s="277" t="s">
        <v>207</v>
      </c>
      <c r="D327" s="130"/>
      <c r="E327" s="252" t="s">
        <v>231</v>
      </c>
      <c r="F327" s="253" t="s">
        <v>220</v>
      </c>
      <c r="G327" s="267"/>
      <c r="H327" s="254">
        <v>2020.0</v>
      </c>
      <c r="I327" s="254">
        <v>2021.0</v>
      </c>
      <c r="J327" s="255" t="s">
        <v>1283</v>
      </c>
      <c r="K327" s="256">
        <v>1.0</v>
      </c>
      <c r="L327" s="130" t="s">
        <v>693</v>
      </c>
      <c r="M327" s="257">
        <v>2020.0</v>
      </c>
      <c r="N327" s="244" t="s">
        <v>1244</v>
      </c>
      <c r="O327" s="130" t="s">
        <v>1255</v>
      </c>
      <c r="P327" s="246"/>
      <c r="Q327" s="242"/>
      <c r="R327" s="242"/>
      <c r="S327" s="242"/>
      <c r="T327" s="242"/>
      <c r="U327" s="242"/>
      <c r="V327" s="243">
        <v>2021.0</v>
      </c>
      <c r="W327" s="130" t="s">
        <v>1284</v>
      </c>
      <c r="X327" s="256">
        <v>1.0</v>
      </c>
      <c r="Z327" s="244" t="s">
        <v>1263</v>
      </c>
      <c r="AA327" s="130" t="s">
        <v>1285</v>
      </c>
    </row>
    <row r="328">
      <c r="A328" s="111">
        <v>393.0</v>
      </c>
      <c r="B328" s="122" t="s">
        <v>166</v>
      </c>
      <c r="C328" s="266" t="s">
        <v>207</v>
      </c>
      <c r="D328" s="122"/>
      <c r="E328" s="113" t="s">
        <v>208</v>
      </c>
      <c r="F328" s="114" t="s">
        <v>244</v>
      </c>
      <c r="G328" s="260"/>
      <c r="H328" s="121">
        <v>2020.0</v>
      </c>
      <c r="I328" s="121">
        <v>2023.0</v>
      </c>
      <c r="J328" s="261" t="s">
        <v>1286</v>
      </c>
      <c r="K328" s="120"/>
      <c r="L328" s="120"/>
      <c r="M328" s="117">
        <v>2020.0</v>
      </c>
      <c r="N328" s="123" t="s">
        <v>1244</v>
      </c>
      <c r="O328" s="122" t="s">
        <v>1255</v>
      </c>
      <c r="P328" s="144">
        <v>2020.0</v>
      </c>
      <c r="Q328" s="122" t="s">
        <v>1287</v>
      </c>
      <c r="R328" s="120"/>
      <c r="S328" s="120"/>
      <c r="T328" s="123" t="s">
        <v>1244</v>
      </c>
      <c r="U328" s="120"/>
      <c r="V328" s="144">
        <v>2023.0</v>
      </c>
      <c r="W328" s="122" t="s">
        <v>1288</v>
      </c>
      <c r="X328" s="122" t="s">
        <v>1289</v>
      </c>
      <c r="Z328" s="123" t="s">
        <v>1258</v>
      </c>
      <c r="AA328" s="122" t="s">
        <v>1259</v>
      </c>
    </row>
    <row r="329">
      <c r="A329" s="111">
        <v>394.0</v>
      </c>
      <c r="B329" s="130" t="s">
        <v>166</v>
      </c>
      <c r="C329" s="268" t="s">
        <v>274</v>
      </c>
      <c r="D329" s="136" t="s">
        <v>1290</v>
      </c>
      <c r="E329" s="252" t="s">
        <v>231</v>
      </c>
      <c r="F329" s="253" t="s">
        <v>220</v>
      </c>
      <c r="G329" s="267"/>
      <c r="H329" s="254">
        <v>2020.0</v>
      </c>
      <c r="I329" s="254">
        <v>2023.0</v>
      </c>
      <c r="J329" s="255" t="s">
        <v>1291</v>
      </c>
      <c r="K329" s="256">
        <v>1.0</v>
      </c>
      <c r="L329" s="130" t="s">
        <v>693</v>
      </c>
      <c r="M329" s="257">
        <v>2020.0</v>
      </c>
      <c r="N329" s="244" t="s">
        <v>1244</v>
      </c>
      <c r="O329" s="130" t="s">
        <v>1255</v>
      </c>
      <c r="P329" s="243">
        <v>2020.0</v>
      </c>
      <c r="Q329" s="130" t="s">
        <v>1292</v>
      </c>
      <c r="R329" s="242"/>
      <c r="S329" s="242"/>
      <c r="T329" s="244" t="s">
        <v>1244</v>
      </c>
      <c r="U329" s="242"/>
      <c r="V329" s="243">
        <v>2023.0</v>
      </c>
      <c r="W329" s="242"/>
      <c r="X329" s="130" t="s">
        <v>1293</v>
      </c>
      <c r="Z329" s="244" t="s">
        <v>1258</v>
      </c>
      <c r="AA329" s="130" t="s">
        <v>1294</v>
      </c>
    </row>
    <row r="330">
      <c r="A330" s="111">
        <v>395.0</v>
      </c>
      <c r="B330" s="122" t="s">
        <v>166</v>
      </c>
      <c r="C330" s="266" t="s">
        <v>207</v>
      </c>
      <c r="D330" s="122"/>
      <c r="E330" s="113" t="s">
        <v>208</v>
      </c>
      <c r="F330" s="114" t="s">
        <v>220</v>
      </c>
      <c r="G330" s="146"/>
      <c r="H330" s="121">
        <v>2020.0</v>
      </c>
      <c r="I330" s="121">
        <v>2023.0</v>
      </c>
      <c r="J330" s="261" t="s">
        <v>1295</v>
      </c>
      <c r="K330" s="262">
        <v>1.0</v>
      </c>
      <c r="L330" s="122" t="s">
        <v>693</v>
      </c>
      <c r="M330" s="117">
        <v>2020.0</v>
      </c>
      <c r="N330" s="123" t="s">
        <v>1244</v>
      </c>
      <c r="O330" s="122" t="s">
        <v>1255</v>
      </c>
      <c r="P330" s="263"/>
      <c r="Q330" s="120"/>
      <c r="R330" s="120"/>
      <c r="S330" s="120"/>
      <c r="T330" s="120"/>
      <c r="U330" s="120"/>
      <c r="V330" s="144">
        <v>2023.0</v>
      </c>
      <c r="W330" s="120"/>
      <c r="X330" s="262">
        <v>1.0</v>
      </c>
      <c r="Z330" s="123" t="s">
        <v>1258</v>
      </c>
      <c r="AA330" s="122" t="s">
        <v>1285</v>
      </c>
    </row>
    <row r="331">
      <c r="A331" s="111">
        <v>396.0</v>
      </c>
      <c r="B331" s="130" t="s">
        <v>166</v>
      </c>
      <c r="C331" s="277" t="s">
        <v>207</v>
      </c>
      <c r="D331" s="130"/>
      <c r="E331" s="252" t="s">
        <v>383</v>
      </c>
      <c r="F331" s="234" t="s">
        <v>683</v>
      </c>
      <c r="G331" s="267"/>
      <c r="H331" s="254">
        <v>2020.0</v>
      </c>
      <c r="I331" s="254">
        <v>2023.0</v>
      </c>
      <c r="J331" s="255" t="s">
        <v>1296</v>
      </c>
      <c r="K331" s="256">
        <v>1.0</v>
      </c>
      <c r="L331" s="130" t="s">
        <v>693</v>
      </c>
      <c r="M331" s="257">
        <v>2020.0</v>
      </c>
      <c r="N331" s="244" t="s">
        <v>1244</v>
      </c>
      <c r="O331" s="130" t="s">
        <v>1255</v>
      </c>
      <c r="P331" s="246"/>
      <c r="Q331" s="242"/>
      <c r="R331" s="242"/>
      <c r="S331" s="242"/>
      <c r="T331" s="242"/>
      <c r="U331" s="242"/>
      <c r="V331" s="243">
        <v>2023.0</v>
      </c>
      <c r="W331" s="130" t="s">
        <v>1297</v>
      </c>
      <c r="X331" s="256">
        <v>1.0</v>
      </c>
      <c r="Z331" s="244" t="s">
        <v>1258</v>
      </c>
      <c r="AA331" s="130" t="s">
        <v>1298</v>
      </c>
    </row>
    <row r="332">
      <c r="A332" s="111">
        <v>397.0</v>
      </c>
      <c r="B332" s="122" t="s">
        <v>166</v>
      </c>
      <c r="C332" s="266" t="s">
        <v>207</v>
      </c>
      <c r="D332" s="122"/>
      <c r="E332" s="113" t="s">
        <v>208</v>
      </c>
      <c r="F332" s="114" t="s">
        <v>220</v>
      </c>
      <c r="G332" s="260"/>
      <c r="H332" s="121">
        <v>2020.0</v>
      </c>
      <c r="I332" s="121">
        <v>2024.0</v>
      </c>
      <c r="J332" s="261" t="s">
        <v>1299</v>
      </c>
      <c r="K332" s="120"/>
      <c r="L332" s="120"/>
      <c r="M332" s="257">
        <v>2020.0</v>
      </c>
      <c r="N332" s="244" t="s">
        <v>1244</v>
      </c>
      <c r="O332" s="130" t="s">
        <v>1255</v>
      </c>
      <c r="P332" s="263"/>
      <c r="Q332" s="120"/>
      <c r="R332" s="120"/>
      <c r="S332" s="120"/>
      <c r="T332" s="120"/>
      <c r="U332" s="120"/>
      <c r="V332" s="144">
        <v>2024.0</v>
      </c>
      <c r="W332" s="122" t="s">
        <v>1299</v>
      </c>
      <c r="X332" s="262">
        <v>1.0</v>
      </c>
      <c r="Z332" s="123" t="s">
        <v>1300</v>
      </c>
      <c r="AA332" s="122" t="s">
        <v>1301</v>
      </c>
    </row>
    <row r="333">
      <c r="A333" s="111">
        <v>402.0</v>
      </c>
      <c r="B333" s="115" t="s">
        <v>166</v>
      </c>
      <c r="C333" s="62" t="s">
        <v>207</v>
      </c>
      <c r="D333" s="115"/>
      <c r="E333" s="62" t="s">
        <v>231</v>
      </c>
      <c r="F333" s="62" t="s">
        <v>263</v>
      </c>
      <c r="G333" s="115" t="s">
        <v>264</v>
      </c>
      <c r="H333" s="115">
        <v>2021.0</v>
      </c>
      <c r="I333" s="115">
        <v>2025.0</v>
      </c>
      <c r="J333" s="221" t="s">
        <v>1302</v>
      </c>
      <c r="K333" s="137">
        <v>0.9</v>
      </c>
      <c r="L333" s="115" t="s">
        <v>693</v>
      </c>
      <c r="M333" s="128">
        <v>2021.0</v>
      </c>
      <c r="N333" s="136" t="s">
        <v>1263</v>
      </c>
      <c r="O333" s="115" t="s">
        <v>1264</v>
      </c>
      <c r="P333" s="132">
        <v>2020.0</v>
      </c>
      <c r="Q333" s="115" t="s">
        <v>1261</v>
      </c>
      <c r="R333" s="137">
        <v>0.35</v>
      </c>
      <c r="S333" s="115" t="s">
        <v>693</v>
      </c>
      <c r="T333" s="123" t="s">
        <v>1244</v>
      </c>
      <c r="U333" s="115" t="s">
        <v>1255</v>
      </c>
      <c r="V333" s="132">
        <v>2024.0</v>
      </c>
      <c r="W333" s="155"/>
      <c r="X333" s="137">
        <v>0.98</v>
      </c>
      <c r="Z333" s="136" t="s">
        <v>1252</v>
      </c>
      <c r="AA333" s="115" t="s">
        <v>1303</v>
      </c>
    </row>
    <row r="334">
      <c r="A334" s="111">
        <v>410.0</v>
      </c>
      <c r="B334" s="130" t="s">
        <v>166</v>
      </c>
      <c r="C334" s="252" t="s">
        <v>207</v>
      </c>
      <c r="D334" s="130"/>
      <c r="E334" s="252" t="s">
        <v>231</v>
      </c>
      <c r="F334" s="234" t="s">
        <v>373</v>
      </c>
      <c r="G334" s="271"/>
      <c r="H334" s="254">
        <v>2021.0</v>
      </c>
      <c r="I334" s="254">
        <v>2024.0</v>
      </c>
      <c r="J334" s="255" t="s">
        <v>1304</v>
      </c>
      <c r="K334" s="242"/>
      <c r="L334" s="242"/>
      <c r="M334" s="257">
        <v>2021.0</v>
      </c>
      <c r="N334" s="244" t="s">
        <v>1263</v>
      </c>
      <c r="O334" s="130" t="s">
        <v>1305</v>
      </c>
      <c r="P334" s="246"/>
      <c r="Q334" s="242"/>
      <c r="R334" s="242"/>
      <c r="S334" s="242"/>
      <c r="T334" s="242"/>
      <c r="U334" s="242"/>
      <c r="V334" s="241">
        <v>2024.0</v>
      </c>
      <c r="W334" s="238" t="s">
        <v>1306</v>
      </c>
      <c r="X334" s="242"/>
      <c r="Z334" s="244" t="s">
        <v>1300</v>
      </c>
      <c r="AA334" s="238" t="s">
        <v>1307</v>
      </c>
    </row>
    <row r="335">
      <c r="A335" s="111">
        <v>411.0</v>
      </c>
      <c r="B335" s="122" t="s">
        <v>166</v>
      </c>
      <c r="C335" s="113" t="s">
        <v>343</v>
      </c>
      <c r="D335" s="122"/>
      <c r="E335" s="113" t="s">
        <v>208</v>
      </c>
      <c r="F335" s="234" t="s">
        <v>373</v>
      </c>
      <c r="G335" s="271"/>
      <c r="H335" s="121">
        <v>2021.0</v>
      </c>
      <c r="I335" s="121">
        <v>2025.0</v>
      </c>
      <c r="J335" s="261" t="s">
        <v>1308</v>
      </c>
      <c r="K335" s="262">
        <v>1.0</v>
      </c>
      <c r="L335" s="122" t="s">
        <v>693</v>
      </c>
      <c r="M335" s="117">
        <v>2021.0</v>
      </c>
      <c r="N335" s="123" t="s">
        <v>1263</v>
      </c>
      <c r="O335" s="122" t="s">
        <v>1285</v>
      </c>
      <c r="P335" s="263"/>
      <c r="Q335" s="120"/>
      <c r="R335" s="120"/>
      <c r="S335" s="120"/>
      <c r="T335" s="120"/>
      <c r="U335" s="120"/>
      <c r="V335" s="440">
        <v>2024.0</v>
      </c>
      <c r="W335" s="115" t="s">
        <v>1309</v>
      </c>
      <c r="X335" s="441">
        <v>0.93</v>
      </c>
      <c r="Z335" s="244" t="s">
        <v>1300</v>
      </c>
      <c r="AA335" s="145" t="s">
        <v>1310</v>
      </c>
    </row>
    <row r="336">
      <c r="A336" s="111">
        <v>412.0</v>
      </c>
      <c r="B336" s="122" t="s">
        <v>166</v>
      </c>
      <c r="C336" s="266" t="s">
        <v>207</v>
      </c>
      <c r="D336" s="122"/>
      <c r="E336" s="113" t="s">
        <v>231</v>
      </c>
      <c r="F336" s="259" t="s">
        <v>220</v>
      </c>
      <c r="G336" s="260"/>
      <c r="H336" s="121">
        <v>2021.0</v>
      </c>
      <c r="I336" s="121">
        <v>2022.0</v>
      </c>
      <c r="J336" s="261" t="s">
        <v>1311</v>
      </c>
      <c r="K336" s="262">
        <v>1.0</v>
      </c>
      <c r="L336" s="122" t="s">
        <v>693</v>
      </c>
      <c r="M336" s="117">
        <v>2021.0</v>
      </c>
      <c r="N336" s="123" t="s">
        <v>1263</v>
      </c>
      <c r="O336" s="122" t="s">
        <v>1285</v>
      </c>
      <c r="P336" s="144">
        <v>2021.0</v>
      </c>
      <c r="Q336" s="122" t="s">
        <v>1312</v>
      </c>
      <c r="R336" s="121">
        <v>98.0</v>
      </c>
      <c r="S336" s="122" t="s">
        <v>693</v>
      </c>
      <c r="T336" s="123" t="s">
        <v>1263</v>
      </c>
      <c r="U336" s="122" t="s">
        <v>1285</v>
      </c>
      <c r="V336" s="144">
        <v>2024.0</v>
      </c>
      <c r="W336" s="122" t="s">
        <v>1313</v>
      </c>
      <c r="X336" s="262">
        <v>1.0</v>
      </c>
      <c r="Y336" s="122" t="s">
        <v>693</v>
      </c>
      <c r="Z336" s="123" t="s">
        <v>1300</v>
      </c>
      <c r="AA336" s="122" t="s">
        <v>1268</v>
      </c>
    </row>
    <row r="337">
      <c r="A337" s="111">
        <v>413.0</v>
      </c>
      <c r="B337" s="130" t="s">
        <v>166</v>
      </c>
      <c r="C337" s="62" t="s">
        <v>343</v>
      </c>
      <c r="D337" s="130"/>
      <c r="E337" s="62" t="s">
        <v>208</v>
      </c>
      <c r="F337" s="62" t="s">
        <v>263</v>
      </c>
      <c r="G337" s="115" t="s">
        <v>264</v>
      </c>
      <c r="H337" s="115">
        <v>2022.0</v>
      </c>
      <c r="I337" s="115">
        <v>2030.0</v>
      </c>
      <c r="J337" s="265" t="s">
        <v>1314</v>
      </c>
      <c r="K337" s="115"/>
      <c r="L337" s="115"/>
      <c r="M337" s="128">
        <v>2022.0</v>
      </c>
      <c r="N337" s="136" t="s">
        <v>1280</v>
      </c>
      <c r="O337" s="115" t="s">
        <v>1315</v>
      </c>
      <c r="P337" s="132">
        <v>2021.0</v>
      </c>
      <c r="Q337" s="155"/>
      <c r="R337" s="115">
        <v>200686.0</v>
      </c>
      <c r="S337" s="122" t="s">
        <v>370</v>
      </c>
      <c r="T337" s="136" t="s">
        <v>1280</v>
      </c>
      <c r="U337" s="115" t="s">
        <v>1316</v>
      </c>
      <c r="V337" s="132">
        <v>2024.0</v>
      </c>
      <c r="W337" s="115" t="s">
        <v>680</v>
      </c>
      <c r="X337" s="115">
        <v>227986.0</v>
      </c>
      <c r="Y337" s="122" t="s">
        <v>370</v>
      </c>
      <c r="Z337" s="136" t="s">
        <v>1252</v>
      </c>
      <c r="AA337" s="115" t="s">
        <v>1317</v>
      </c>
    </row>
    <row r="338">
      <c r="A338" s="111">
        <v>414.0</v>
      </c>
      <c r="B338" s="122" t="s">
        <v>166</v>
      </c>
      <c r="C338" s="62" t="s">
        <v>343</v>
      </c>
      <c r="D338" s="122"/>
      <c r="E338" s="62" t="s">
        <v>208</v>
      </c>
      <c r="F338" s="62" t="s">
        <v>263</v>
      </c>
      <c r="G338" s="115" t="s">
        <v>280</v>
      </c>
      <c r="H338" s="115">
        <v>2022.0</v>
      </c>
      <c r="I338" s="115">
        <v>2030.0</v>
      </c>
      <c r="J338" s="442" t="s">
        <v>1318</v>
      </c>
      <c r="K338" s="115">
        <v>3918.03</v>
      </c>
      <c r="L338" s="122" t="s">
        <v>370</v>
      </c>
      <c r="M338" s="128">
        <v>2022.0</v>
      </c>
      <c r="N338" s="136" t="s">
        <v>1280</v>
      </c>
      <c r="O338" s="115" t="s">
        <v>1319</v>
      </c>
      <c r="P338" s="132">
        <v>2021.0</v>
      </c>
      <c r="Q338" s="155"/>
      <c r="R338" s="115">
        <v>13060.2</v>
      </c>
      <c r="S338" s="122" t="s">
        <v>370</v>
      </c>
      <c r="T338" s="136" t="s">
        <v>1280</v>
      </c>
      <c r="U338" s="115" t="s">
        <v>1320</v>
      </c>
      <c r="V338" s="132">
        <v>2024.0</v>
      </c>
      <c r="W338" s="115" t="s">
        <v>671</v>
      </c>
      <c r="X338" s="115">
        <v>20140.0</v>
      </c>
      <c r="Y338" s="122" t="s">
        <v>370</v>
      </c>
      <c r="Z338" s="136" t="s">
        <v>1252</v>
      </c>
      <c r="AA338" s="115" t="s">
        <v>1321</v>
      </c>
    </row>
    <row r="339">
      <c r="A339" s="111">
        <v>415.0</v>
      </c>
      <c r="B339" s="115" t="s">
        <v>166</v>
      </c>
      <c r="C339" s="62" t="s">
        <v>343</v>
      </c>
      <c r="D339" s="115"/>
      <c r="E339" s="62" t="s">
        <v>208</v>
      </c>
      <c r="F339" s="62" t="s">
        <v>263</v>
      </c>
      <c r="G339" s="115" t="s">
        <v>379</v>
      </c>
      <c r="H339" s="115">
        <v>2022.0</v>
      </c>
      <c r="I339" s="115">
        <v>2050.0</v>
      </c>
      <c r="J339" s="221" t="s">
        <v>1322</v>
      </c>
      <c r="K339" s="115">
        <v>21374.8</v>
      </c>
      <c r="L339" s="122" t="s">
        <v>370</v>
      </c>
      <c r="M339" s="128">
        <v>2022.0</v>
      </c>
      <c r="N339" s="136" t="s">
        <v>1280</v>
      </c>
      <c r="O339" s="115" t="s">
        <v>1323</v>
      </c>
      <c r="P339" s="132">
        <v>2021.0</v>
      </c>
      <c r="Q339" s="155"/>
      <c r="R339" s="115">
        <v>213746.2</v>
      </c>
      <c r="S339" s="115" t="s">
        <v>370</v>
      </c>
      <c r="T339" s="136" t="s">
        <v>1280</v>
      </c>
      <c r="U339" s="115" t="s">
        <v>1324</v>
      </c>
      <c r="V339" s="132">
        <v>2024.0</v>
      </c>
      <c r="W339" s="115" t="s">
        <v>1325</v>
      </c>
      <c r="X339" s="115">
        <v>248126.0</v>
      </c>
      <c r="Y339" s="115" t="s">
        <v>370</v>
      </c>
      <c r="Z339" s="136" t="s">
        <v>1252</v>
      </c>
      <c r="AA339" s="115" t="s">
        <v>1326</v>
      </c>
    </row>
    <row r="340">
      <c r="A340" s="111">
        <v>417.0</v>
      </c>
      <c r="B340" s="122" t="s">
        <v>166</v>
      </c>
      <c r="C340" s="264" t="s">
        <v>343</v>
      </c>
      <c r="D340" s="122"/>
      <c r="E340" s="113" t="s">
        <v>231</v>
      </c>
      <c r="F340" s="114" t="s">
        <v>220</v>
      </c>
      <c r="G340" s="111" t="s">
        <v>251</v>
      </c>
      <c r="H340" s="121">
        <v>2022.0</v>
      </c>
      <c r="I340" s="121">
        <v>2025.0</v>
      </c>
      <c r="J340" s="261" t="s">
        <v>1327</v>
      </c>
      <c r="K340" s="262">
        <v>0.5</v>
      </c>
      <c r="L340" s="122" t="s">
        <v>693</v>
      </c>
      <c r="M340" s="117">
        <v>2022.0</v>
      </c>
      <c r="N340" s="123" t="s">
        <v>1280</v>
      </c>
      <c r="O340" s="122" t="s">
        <v>1259</v>
      </c>
      <c r="P340" s="144">
        <v>2023.0</v>
      </c>
      <c r="Q340" s="122" t="s">
        <v>1328</v>
      </c>
      <c r="R340" s="122" t="s">
        <v>1329</v>
      </c>
      <c r="S340" s="122" t="s">
        <v>693</v>
      </c>
      <c r="T340" s="123" t="s">
        <v>1258</v>
      </c>
      <c r="U340" s="122" t="s">
        <v>1259</v>
      </c>
      <c r="V340" s="144">
        <v>2024.0</v>
      </c>
      <c r="W340" s="122" t="s">
        <v>1328</v>
      </c>
      <c r="X340" s="122" t="s">
        <v>1330</v>
      </c>
      <c r="Y340" s="122" t="s">
        <v>693</v>
      </c>
      <c r="Z340" s="123" t="s">
        <v>1300</v>
      </c>
      <c r="AA340" s="122" t="s">
        <v>1331</v>
      </c>
    </row>
    <row r="341">
      <c r="A341" s="111">
        <v>418.0</v>
      </c>
      <c r="B341" s="130" t="s">
        <v>166</v>
      </c>
      <c r="C341" s="270" t="s">
        <v>343</v>
      </c>
      <c r="D341" s="130"/>
      <c r="E341" s="252" t="s">
        <v>231</v>
      </c>
      <c r="F341" s="253" t="s">
        <v>220</v>
      </c>
      <c r="G341" s="267"/>
      <c r="H341" s="254">
        <v>2022.0</v>
      </c>
      <c r="I341" s="254">
        <v>2025.0</v>
      </c>
      <c r="J341" s="255" t="s">
        <v>1332</v>
      </c>
      <c r="K341" s="256">
        <v>0.5</v>
      </c>
      <c r="L341" s="130" t="s">
        <v>693</v>
      </c>
      <c r="M341" s="257">
        <v>2022.0</v>
      </c>
      <c r="N341" s="244" t="s">
        <v>1280</v>
      </c>
      <c r="O341" s="130" t="s">
        <v>1259</v>
      </c>
      <c r="P341" s="243">
        <v>2022.0</v>
      </c>
      <c r="Q341" s="130" t="s">
        <v>1333</v>
      </c>
      <c r="R341" s="256">
        <v>0.08</v>
      </c>
      <c r="S341" s="130" t="s">
        <v>693</v>
      </c>
      <c r="T341" s="244" t="s">
        <v>1280</v>
      </c>
      <c r="U341" s="130" t="s">
        <v>1259</v>
      </c>
      <c r="V341" s="243">
        <v>2024.0</v>
      </c>
      <c r="W341" s="130" t="s">
        <v>1334</v>
      </c>
      <c r="X341" s="130" t="s">
        <v>1335</v>
      </c>
      <c r="Y341" s="130" t="s">
        <v>693</v>
      </c>
      <c r="Z341" s="244" t="s">
        <v>1300</v>
      </c>
      <c r="AA341" s="130" t="s">
        <v>262</v>
      </c>
    </row>
    <row r="342">
      <c r="A342" s="111">
        <v>419.0</v>
      </c>
      <c r="B342" s="122" t="s">
        <v>166</v>
      </c>
      <c r="C342" s="264" t="s">
        <v>343</v>
      </c>
      <c r="D342" s="122"/>
      <c r="E342" s="113" t="s">
        <v>208</v>
      </c>
      <c r="F342" s="406" t="s">
        <v>420</v>
      </c>
      <c r="G342" s="260"/>
      <c r="H342" s="121">
        <v>2022.0</v>
      </c>
      <c r="I342" s="121">
        <v>2025.0</v>
      </c>
      <c r="J342" s="261" t="s">
        <v>1336</v>
      </c>
      <c r="K342" s="262">
        <v>0.7</v>
      </c>
      <c r="L342" s="122" t="s">
        <v>693</v>
      </c>
      <c r="M342" s="117">
        <v>2022.0</v>
      </c>
      <c r="N342" s="123" t="s">
        <v>1280</v>
      </c>
      <c r="O342" s="122" t="s">
        <v>1259</v>
      </c>
      <c r="P342" s="144">
        <v>2023.0</v>
      </c>
      <c r="Q342" s="122" t="s">
        <v>1337</v>
      </c>
      <c r="R342" s="262">
        <v>0.45</v>
      </c>
      <c r="S342" s="122" t="s">
        <v>693</v>
      </c>
      <c r="T342" s="123" t="s">
        <v>1258</v>
      </c>
      <c r="U342" s="122" t="s">
        <v>1294</v>
      </c>
      <c r="V342" s="144">
        <v>2024.0</v>
      </c>
      <c r="W342" s="122" t="s">
        <v>1338</v>
      </c>
      <c r="X342" s="262">
        <v>0.7</v>
      </c>
      <c r="Y342" s="122" t="s">
        <v>693</v>
      </c>
      <c r="Z342" s="123" t="s">
        <v>1300</v>
      </c>
      <c r="AA342" s="122" t="s">
        <v>1268</v>
      </c>
    </row>
    <row r="343">
      <c r="A343" s="111">
        <v>422.0</v>
      </c>
      <c r="B343" s="115" t="s">
        <v>1339</v>
      </c>
      <c r="C343" s="62" t="s">
        <v>219</v>
      </c>
      <c r="D343" s="115"/>
      <c r="E343" s="62" t="s">
        <v>208</v>
      </c>
      <c r="F343" s="62" t="s">
        <v>220</v>
      </c>
      <c r="G343" s="115" t="s">
        <v>251</v>
      </c>
      <c r="H343" s="115">
        <v>2016.0</v>
      </c>
      <c r="I343" s="115">
        <v>2020.0</v>
      </c>
      <c r="J343" s="221" t="s">
        <v>1340</v>
      </c>
      <c r="K343" s="137">
        <v>1.0</v>
      </c>
      <c r="L343" s="115" t="s">
        <v>1341</v>
      </c>
      <c r="M343" s="128">
        <v>2016.0</v>
      </c>
      <c r="N343" s="136" t="s">
        <v>1342</v>
      </c>
      <c r="O343" s="115" t="s">
        <v>1343</v>
      </c>
      <c r="P343" s="132"/>
      <c r="Q343" s="115"/>
      <c r="R343" s="115"/>
      <c r="S343" s="115"/>
      <c r="T343" s="124"/>
      <c r="U343" s="115"/>
      <c r="V343" s="132">
        <v>2020.0</v>
      </c>
      <c r="W343" s="115" t="s">
        <v>1344</v>
      </c>
      <c r="X343" s="138">
        <v>0.85</v>
      </c>
      <c r="Y343" s="115" t="s">
        <v>1345</v>
      </c>
      <c r="Z343" s="136" t="s">
        <v>1346</v>
      </c>
      <c r="AA343" s="115" t="s">
        <v>1347</v>
      </c>
    </row>
    <row r="344">
      <c r="A344" s="111">
        <v>424.0</v>
      </c>
      <c r="B344" s="115" t="s">
        <v>1339</v>
      </c>
      <c r="C344" s="62" t="s">
        <v>207</v>
      </c>
      <c r="D344" s="115"/>
      <c r="E344" s="62" t="s">
        <v>208</v>
      </c>
      <c r="F344" s="62" t="s">
        <v>258</v>
      </c>
      <c r="G344" s="115" t="s">
        <v>494</v>
      </c>
      <c r="H344" s="115">
        <v>2016.0</v>
      </c>
      <c r="I344" s="115">
        <v>2017.0</v>
      </c>
      <c r="J344" s="221" t="s">
        <v>1348</v>
      </c>
      <c r="K344" s="137">
        <v>1.0</v>
      </c>
      <c r="L344" s="115" t="s">
        <v>1349</v>
      </c>
      <c r="M344" s="128">
        <v>2016.0</v>
      </c>
      <c r="N344" s="136" t="s">
        <v>1342</v>
      </c>
      <c r="O344" s="115" t="s">
        <v>1350</v>
      </c>
      <c r="P344" s="132"/>
      <c r="Q344" s="115"/>
      <c r="R344" s="115"/>
      <c r="S344" s="115"/>
      <c r="T344" s="124"/>
      <c r="U344" s="115"/>
      <c r="V344" s="132">
        <v>2017.0</v>
      </c>
      <c r="W344" s="115" t="s">
        <v>1351</v>
      </c>
      <c r="X344" s="133"/>
      <c r="Y344" s="115"/>
      <c r="Z344" s="136" t="s">
        <v>1352</v>
      </c>
      <c r="AA344" s="115" t="s">
        <v>1353</v>
      </c>
    </row>
    <row r="345">
      <c r="A345" s="111">
        <v>426.0</v>
      </c>
      <c r="B345" s="115" t="s">
        <v>1339</v>
      </c>
      <c r="C345" s="62" t="s">
        <v>207</v>
      </c>
      <c r="D345" s="115"/>
      <c r="E345" s="62" t="s">
        <v>383</v>
      </c>
      <c r="F345" s="62" t="s">
        <v>461</v>
      </c>
      <c r="G345" s="134"/>
      <c r="H345" s="115">
        <v>2017.0</v>
      </c>
      <c r="I345" s="115">
        <v>2020.0</v>
      </c>
      <c r="J345" s="221" t="s">
        <v>1354</v>
      </c>
      <c r="K345" s="137">
        <v>1.0</v>
      </c>
      <c r="L345" s="115" t="s">
        <v>1355</v>
      </c>
      <c r="M345" s="128">
        <v>2017.0</v>
      </c>
      <c r="N345" s="136" t="s">
        <v>1352</v>
      </c>
      <c r="O345" s="115" t="s">
        <v>572</v>
      </c>
      <c r="P345" s="132"/>
      <c r="Q345" s="115"/>
      <c r="R345" s="115"/>
      <c r="S345" s="115"/>
      <c r="T345" s="124"/>
      <c r="U345" s="115"/>
      <c r="V345" s="132">
        <v>2018.0</v>
      </c>
      <c r="W345" s="115" t="s">
        <v>1356</v>
      </c>
      <c r="X345" s="138"/>
      <c r="Y345" s="115"/>
      <c r="Z345" s="136" t="s">
        <v>1357</v>
      </c>
      <c r="AA345" s="115" t="s">
        <v>1358</v>
      </c>
    </row>
    <row r="346">
      <c r="A346" s="111">
        <v>427.0</v>
      </c>
      <c r="B346" s="115" t="s">
        <v>1339</v>
      </c>
      <c r="C346" s="62" t="s">
        <v>207</v>
      </c>
      <c r="D346" s="115"/>
      <c r="E346" s="62" t="s">
        <v>383</v>
      </c>
      <c r="F346" s="62" t="s">
        <v>683</v>
      </c>
      <c r="G346" s="134"/>
      <c r="H346" s="115">
        <v>2017.0</v>
      </c>
      <c r="I346" s="115">
        <v>2020.0</v>
      </c>
      <c r="J346" s="221" t="s">
        <v>1359</v>
      </c>
      <c r="K346" s="137">
        <v>1.0</v>
      </c>
      <c r="L346" s="115" t="s">
        <v>1360</v>
      </c>
      <c r="M346" s="128">
        <v>2017.0</v>
      </c>
      <c r="N346" s="136" t="s">
        <v>1352</v>
      </c>
      <c r="O346" s="115" t="s">
        <v>572</v>
      </c>
      <c r="P346" s="132"/>
      <c r="Q346" s="115"/>
      <c r="R346" s="115"/>
      <c r="S346" s="115"/>
      <c r="T346" s="124"/>
      <c r="U346" s="115"/>
      <c r="V346" s="132">
        <v>2019.0</v>
      </c>
      <c r="W346" s="115" t="s">
        <v>1361</v>
      </c>
      <c r="X346" s="138"/>
      <c r="Y346" s="115"/>
      <c r="Z346" s="136" t="s">
        <v>1362</v>
      </c>
      <c r="AA346" s="115" t="s">
        <v>1363</v>
      </c>
    </row>
    <row r="347">
      <c r="A347" s="111">
        <v>428.0</v>
      </c>
      <c r="B347" s="115" t="s">
        <v>1339</v>
      </c>
      <c r="C347" s="62" t="s">
        <v>274</v>
      </c>
      <c r="D347" s="115" t="s">
        <v>1364</v>
      </c>
      <c r="E347" s="62" t="s">
        <v>231</v>
      </c>
      <c r="F347" s="62" t="s">
        <v>461</v>
      </c>
      <c r="G347" s="134"/>
      <c r="H347" s="115">
        <v>2017.0</v>
      </c>
      <c r="I347" s="115">
        <v>2020.0</v>
      </c>
      <c r="J347" s="221" t="s">
        <v>1365</v>
      </c>
      <c r="K347" s="137">
        <v>1.0</v>
      </c>
      <c r="L347" s="115" t="s">
        <v>1366</v>
      </c>
      <c r="M347" s="128">
        <v>2017.0</v>
      </c>
      <c r="N347" s="136" t="s">
        <v>1352</v>
      </c>
      <c r="O347" s="115" t="s">
        <v>572</v>
      </c>
      <c r="P347" s="132"/>
      <c r="Q347" s="115"/>
      <c r="R347" s="115"/>
      <c r="S347" s="115"/>
      <c r="T347" s="124"/>
      <c r="U347" s="115"/>
      <c r="V347" s="132">
        <v>2020.0</v>
      </c>
      <c r="W347" s="115"/>
      <c r="X347" s="138"/>
      <c r="Y347" s="115"/>
      <c r="Z347" s="136" t="s">
        <v>1346</v>
      </c>
      <c r="AA347" s="115" t="s">
        <v>1367</v>
      </c>
    </row>
    <row r="348">
      <c r="A348" s="111">
        <v>429.0</v>
      </c>
      <c r="B348" s="115" t="s">
        <v>1339</v>
      </c>
      <c r="C348" s="62" t="s">
        <v>274</v>
      </c>
      <c r="D348" s="115" t="s">
        <v>1368</v>
      </c>
      <c r="E348" s="62" t="s">
        <v>231</v>
      </c>
      <c r="F348" s="62" t="s">
        <v>461</v>
      </c>
      <c r="G348" s="134"/>
      <c r="H348" s="115">
        <v>2017.0</v>
      </c>
      <c r="I348" s="115">
        <v>2020.0</v>
      </c>
      <c r="J348" s="221" t="s">
        <v>1369</v>
      </c>
      <c r="K348" s="115">
        <v>1000.0</v>
      </c>
      <c r="L348" s="115" t="s">
        <v>1370</v>
      </c>
      <c r="M348" s="128">
        <v>2017.0</v>
      </c>
      <c r="N348" s="136" t="s">
        <v>1352</v>
      </c>
      <c r="O348" s="115" t="s">
        <v>572</v>
      </c>
      <c r="P348" s="132"/>
      <c r="Q348" s="115"/>
      <c r="R348" s="115"/>
      <c r="S348" s="115"/>
      <c r="T348" s="124"/>
      <c r="U348" s="115"/>
      <c r="V348" s="132">
        <v>2020.0</v>
      </c>
      <c r="W348" s="115"/>
      <c r="X348" s="138"/>
      <c r="Y348" s="115"/>
      <c r="Z348" s="136" t="s">
        <v>1346</v>
      </c>
      <c r="AA348" s="115" t="s">
        <v>1371</v>
      </c>
    </row>
    <row r="349">
      <c r="A349" s="111">
        <v>430.0</v>
      </c>
      <c r="B349" s="115" t="s">
        <v>1339</v>
      </c>
      <c r="C349" s="62" t="s">
        <v>274</v>
      </c>
      <c r="D349" s="115" t="s">
        <v>1368</v>
      </c>
      <c r="E349" s="62" t="s">
        <v>383</v>
      </c>
      <c r="F349" s="62" t="s">
        <v>461</v>
      </c>
      <c r="G349" s="134"/>
      <c r="H349" s="115">
        <v>2017.0</v>
      </c>
      <c r="I349" s="115">
        <v>2020.0</v>
      </c>
      <c r="J349" s="221" t="s">
        <v>1372</v>
      </c>
      <c r="K349" s="115"/>
      <c r="L349" s="115"/>
      <c r="M349" s="128">
        <v>2017.0</v>
      </c>
      <c r="N349" s="136" t="s">
        <v>1352</v>
      </c>
      <c r="O349" s="115" t="s">
        <v>572</v>
      </c>
      <c r="P349" s="132"/>
      <c r="Q349" s="115"/>
      <c r="R349" s="115"/>
      <c r="S349" s="115"/>
      <c r="T349" s="124"/>
      <c r="U349" s="115"/>
      <c r="V349" s="132">
        <v>2020.0</v>
      </c>
      <c r="W349" s="115"/>
      <c r="X349" s="138"/>
      <c r="Y349" s="115"/>
      <c r="Z349" s="136" t="s">
        <v>1346</v>
      </c>
      <c r="AA349" s="115" t="s">
        <v>1373</v>
      </c>
    </row>
    <row r="350">
      <c r="A350" s="111">
        <v>431.0</v>
      </c>
      <c r="B350" s="115" t="s">
        <v>1339</v>
      </c>
      <c r="C350" s="62" t="s">
        <v>274</v>
      </c>
      <c r="D350" s="115" t="s">
        <v>1368</v>
      </c>
      <c r="E350" s="62" t="s">
        <v>231</v>
      </c>
      <c r="F350" s="62" t="s">
        <v>461</v>
      </c>
      <c r="G350" s="134"/>
      <c r="H350" s="115">
        <v>2017.0</v>
      </c>
      <c r="I350" s="115">
        <v>2020.0</v>
      </c>
      <c r="J350" s="221" t="s">
        <v>1374</v>
      </c>
      <c r="K350" s="115">
        <v>3000000.0</v>
      </c>
      <c r="L350" s="115" t="s">
        <v>1375</v>
      </c>
      <c r="M350" s="128">
        <v>2017.0</v>
      </c>
      <c r="N350" s="136" t="s">
        <v>1352</v>
      </c>
      <c r="O350" s="115" t="s">
        <v>572</v>
      </c>
      <c r="P350" s="132"/>
      <c r="Q350" s="115"/>
      <c r="R350" s="115"/>
      <c r="S350" s="115"/>
      <c r="T350" s="124"/>
      <c r="U350" s="115"/>
      <c r="V350" s="132">
        <v>2020.0</v>
      </c>
      <c r="W350" s="115"/>
      <c r="X350" s="138"/>
      <c r="Y350" s="115"/>
      <c r="Z350" s="136" t="s">
        <v>1346</v>
      </c>
      <c r="AA350" s="115" t="s">
        <v>988</v>
      </c>
    </row>
    <row r="351">
      <c r="A351" s="111">
        <v>432.0</v>
      </c>
      <c r="B351" s="115" t="s">
        <v>1339</v>
      </c>
      <c r="C351" s="62" t="s">
        <v>207</v>
      </c>
      <c r="D351" s="115"/>
      <c r="E351" s="62" t="s">
        <v>383</v>
      </c>
      <c r="F351" s="62" t="s">
        <v>461</v>
      </c>
      <c r="G351" s="134"/>
      <c r="H351" s="115">
        <v>2017.0</v>
      </c>
      <c r="I351" s="115">
        <v>2020.0</v>
      </c>
      <c r="J351" s="221" t="s">
        <v>1376</v>
      </c>
      <c r="K351" s="115">
        <v>2.0</v>
      </c>
      <c r="L351" s="115" t="s">
        <v>1377</v>
      </c>
      <c r="M351" s="128">
        <v>2017.0</v>
      </c>
      <c r="N351" s="136" t="s">
        <v>1352</v>
      </c>
      <c r="O351" s="115" t="s">
        <v>572</v>
      </c>
      <c r="P351" s="132"/>
      <c r="Q351" s="115"/>
      <c r="R351" s="115"/>
      <c r="S351" s="115"/>
      <c r="T351" s="124"/>
      <c r="U351" s="115"/>
      <c r="V351" s="132">
        <v>2018.0</v>
      </c>
      <c r="W351" s="115" t="s">
        <v>1378</v>
      </c>
      <c r="X351" s="138"/>
      <c r="Y351" s="115"/>
      <c r="Z351" s="136" t="s">
        <v>1357</v>
      </c>
      <c r="AA351" s="115" t="s">
        <v>1358</v>
      </c>
    </row>
    <row r="352">
      <c r="A352" s="111">
        <v>433.0</v>
      </c>
      <c r="B352" s="115" t="s">
        <v>1339</v>
      </c>
      <c r="C352" s="62" t="s">
        <v>274</v>
      </c>
      <c r="D352" s="115"/>
      <c r="E352" s="62" t="s">
        <v>208</v>
      </c>
      <c r="F352" s="62" t="s">
        <v>220</v>
      </c>
      <c r="G352" s="134"/>
      <c r="H352" s="115">
        <v>2019.0</v>
      </c>
      <c r="I352" s="115">
        <v>2020.0</v>
      </c>
      <c r="J352" s="221" t="s">
        <v>1379</v>
      </c>
      <c r="K352" s="137">
        <v>1.0</v>
      </c>
      <c r="L352" s="115" t="s">
        <v>1380</v>
      </c>
      <c r="M352" s="128">
        <v>2019.0</v>
      </c>
      <c r="N352" s="136" t="s">
        <v>1362</v>
      </c>
      <c r="O352" s="115" t="s">
        <v>1358</v>
      </c>
      <c r="P352" s="132"/>
      <c r="Q352" s="115"/>
      <c r="R352" s="115"/>
      <c r="S352" s="115"/>
      <c r="T352" s="124"/>
      <c r="U352" s="115"/>
      <c r="V352" s="132">
        <v>2020.0</v>
      </c>
      <c r="W352" s="115"/>
      <c r="X352" s="138"/>
      <c r="Y352" s="115"/>
      <c r="Z352" s="136" t="s">
        <v>1346</v>
      </c>
      <c r="AA352" s="115" t="s">
        <v>1381</v>
      </c>
    </row>
    <row r="353">
      <c r="A353" s="111">
        <v>434.0</v>
      </c>
      <c r="B353" s="115" t="s">
        <v>1339</v>
      </c>
      <c r="C353" s="62" t="s">
        <v>207</v>
      </c>
      <c r="D353" s="115"/>
      <c r="E353" s="62" t="s">
        <v>231</v>
      </c>
      <c r="F353" s="62" t="s">
        <v>220</v>
      </c>
      <c r="G353" s="115" t="s">
        <v>251</v>
      </c>
      <c r="H353" s="115">
        <v>2020.0</v>
      </c>
      <c r="I353" s="115">
        <v>2021.0</v>
      </c>
      <c r="J353" s="221" t="s">
        <v>1382</v>
      </c>
      <c r="K353" s="137">
        <v>1.0</v>
      </c>
      <c r="L353" s="115" t="s">
        <v>1383</v>
      </c>
      <c r="M353" s="128">
        <v>2020.0</v>
      </c>
      <c r="N353" s="136" t="s">
        <v>1346</v>
      </c>
      <c r="O353" s="115" t="s">
        <v>1347</v>
      </c>
      <c r="P353" s="132">
        <v>2020.0</v>
      </c>
      <c r="Q353" s="115"/>
      <c r="R353" s="137">
        <v>0.85</v>
      </c>
      <c r="S353" s="115" t="s">
        <v>1384</v>
      </c>
      <c r="T353" s="136" t="s">
        <v>1346</v>
      </c>
      <c r="U353" s="115" t="s">
        <v>1347</v>
      </c>
      <c r="V353" s="132">
        <v>2021.0</v>
      </c>
      <c r="W353" s="115" t="s">
        <v>1385</v>
      </c>
      <c r="X353" s="138">
        <v>1.0</v>
      </c>
      <c r="Y353" s="115" t="s">
        <v>1386</v>
      </c>
      <c r="Z353" s="136" t="s">
        <v>1387</v>
      </c>
      <c r="AA353" s="115" t="s">
        <v>1388</v>
      </c>
    </row>
    <row r="354">
      <c r="A354" s="111">
        <v>436.0</v>
      </c>
      <c r="B354" s="115" t="s">
        <v>1339</v>
      </c>
      <c r="C354" s="62" t="s">
        <v>274</v>
      </c>
      <c r="D354" s="115" t="s">
        <v>1368</v>
      </c>
      <c r="E354" s="62" t="s">
        <v>383</v>
      </c>
      <c r="F354" s="62" t="s">
        <v>420</v>
      </c>
      <c r="G354" s="134"/>
      <c r="H354" s="115">
        <v>2020.0</v>
      </c>
      <c r="I354" s="115">
        <v>2021.0</v>
      </c>
      <c r="J354" s="221" t="s">
        <v>1389</v>
      </c>
      <c r="K354" s="137">
        <v>1.0</v>
      </c>
      <c r="L354" s="115" t="s">
        <v>1390</v>
      </c>
      <c r="M354" s="128">
        <v>2020.0</v>
      </c>
      <c r="N354" s="136" t="s">
        <v>1346</v>
      </c>
      <c r="O354" s="125" t="s">
        <v>1391</v>
      </c>
      <c r="P354" s="213"/>
      <c r="Q354" s="115"/>
      <c r="R354" s="137"/>
      <c r="S354" s="115"/>
      <c r="T354" s="124"/>
      <c r="U354" s="115"/>
      <c r="V354" s="158">
        <v>2021.0</v>
      </c>
      <c r="Z354" s="136" t="s">
        <v>1387</v>
      </c>
      <c r="AA354" s="115" t="s">
        <v>988</v>
      </c>
    </row>
    <row r="355">
      <c r="A355" s="111">
        <v>437.0</v>
      </c>
      <c r="B355" s="115" t="s">
        <v>1339</v>
      </c>
      <c r="C355" s="62" t="s">
        <v>219</v>
      </c>
      <c r="D355" s="115"/>
      <c r="E355" s="62" t="s">
        <v>208</v>
      </c>
      <c r="F355" s="62" t="s">
        <v>420</v>
      </c>
      <c r="G355" s="134"/>
      <c r="H355" s="115">
        <v>2020.0</v>
      </c>
      <c r="I355" s="115">
        <v>2022.0</v>
      </c>
      <c r="J355" s="221" t="s">
        <v>1392</v>
      </c>
      <c r="K355" s="137">
        <v>1.0</v>
      </c>
      <c r="L355" s="115" t="s">
        <v>1393</v>
      </c>
      <c r="M355" s="128">
        <v>2020.0</v>
      </c>
      <c r="N355" s="136" t="s">
        <v>1346</v>
      </c>
      <c r="O355" s="115" t="s">
        <v>1394</v>
      </c>
      <c r="P355" s="132">
        <v>2020.0</v>
      </c>
      <c r="Q355" s="115"/>
      <c r="R355" s="137">
        <v>0.8</v>
      </c>
      <c r="S355" s="115" t="s">
        <v>1393</v>
      </c>
      <c r="T355" s="136" t="s">
        <v>1346</v>
      </c>
      <c r="U355" s="115" t="s">
        <v>1394</v>
      </c>
      <c r="V355" s="132">
        <v>2022.0</v>
      </c>
      <c r="W355" s="115" t="s">
        <v>1395</v>
      </c>
      <c r="X355" s="138">
        <v>0.93</v>
      </c>
      <c r="Y355" s="115" t="s">
        <v>1396</v>
      </c>
      <c r="Z355" s="136" t="s">
        <v>1397</v>
      </c>
      <c r="AA355" s="115" t="s">
        <v>1398</v>
      </c>
    </row>
    <row r="356">
      <c r="A356" s="111">
        <v>438.0</v>
      </c>
      <c r="B356" s="115" t="s">
        <v>1339</v>
      </c>
      <c r="C356" s="62" t="s">
        <v>207</v>
      </c>
      <c r="D356" s="115"/>
      <c r="E356" s="62" t="s">
        <v>231</v>
      </c>
      <c r="F356" s="62" t="s">
        <v>220</v>
      </c>
      <c r="G356" s="134"/>
      <c r="H356" s="115">
        <v>2020.0</v>
      </c>
      <c r="I356" s="115">
        <v>2025.0</v>
      </c>
      <c r="J356" s="221" t="s">
        <v>1399</v>
      </c>
      <c r="K356" s="137">
        <v>0.9</v>
      </c>
      <c r="L356" s="115" t="s">
        <v>1400</v>
      </c>
      <c r="M356" s="128">
        <v>2020.0</v>
      </c>
      <c r="N356" s="136" t="s">
        <v>1346</v>
      </c>
      <c r="O356" s="115" t="s">
        <v>1401</v>
      </c>
      <c r="P356" s="132">
        <v>2020.0</v>
      </c>
      <c r="Q356" s="115"/>
      <c r="R356" s="137">
        <v>0.65</v>
      </c>
      <c r="S356" s="115" t="s">
        <v>1400</v>
      </c>
      <c r="T356" s="136" t="s">
        <v>1346</v>
      </c>
      <c r="U356" s="115" t="s">
        <v>1401</v>
      </c>
      <c r="V356" s="132">
        <v>2023.0</v>
      </c>
      <c r="W356" s="115" t="s">
        <v>1402</v>
      </c>
      <c r="X356" s="138">
        <v>0.9</v>
      </c>
      <c r="Y356" s="115" t="s">
        <v>1403</v>
      </c>
      <c r="Z356" s="136" t="s">
        <v>1404</v>
      </c>
      <c r="AA356" s="115" t="s">
        <v>1405</v>
      </c>
    </row>
    <row r="357">
      <c r="A357" s="111">
        <v>439.0</v>
      </c>
      <c r="B357" s="115" t="s">
        <v>1339</v>
      </c>
      <c r="C357" s="62" t="s">
        <v>343</v>
      </c>
      <c r="D357" s="115"/>
      <c r="E357" s="62" t="s">
        <v>231</v>
      </c>
      <c r="F357" s="62" t="s">
        <v>267</v>
      </c>
      <c r="G357" s="134"/>
      <c r="H357" s="115">
        <v>2020.0</v>
      </c>
      <c r="I357" s="115">
        <v>2025.0</v>
      </c>
      <c r="J357" s="221" t="s">
        <v>1406</v>
      </c>
      <c r="K357" s="137">
        <v>1.0</v>
      </c>
      <c r="L357" s="115" t="s">
        <v>1407</v>
      </c>
      <c r="M357" s="128">
        <v>2020.0</v>
      </c>
      <c r="N357" s="136" t="s">
        <v>1346</v>
      </c>
      <c r="O357" s="115" t="s">
        <v>1408</v>
      </c>
      <c r="P357" s="132">
        <v>2020.0</v>
      </c>
      <c r="Q357" s="115"/>
      <c r="R357" s="137">
        <v>0.3</v>
      </c>
      <c r="S357" s="115" t="s">
        <v>1407</v>
      </c>
      <c r="T357" s="136" t="s">
        <v>1346</v>
      </c>
      <c r="U357" s="115" t="s">
        <v>1408</v>
      </c>
      <c r="V357" s="132"/>
      <c r="W357" s="115"/>
      <c r="X357" s="138"/>
      <c r="Y357" s="115"/>
      <c r="Z357" s="124"/>
      <c r="AA357" s="115"/>
    </row>
    <row r="358">
      <c r="A358" s="111">
        <v>440.0</v>
      </c>
      <c r="B358" s="115" t="s">
        <v>1339</v>
      </c>
      <c r="C358" s="62" t="s">
        <v>343</v>
      </c>
      <c r="D358" s="115"/>
      <c r="E358" s="62" t="s">
        <v>231</v>
      </c>
      <c r="F358" s="62" t="s">
        <v>263</v>
      </c>
      <c r="G358" s="115"/>
      <c r="H358" s="115">
        <v>2020.0</v>
      </c>
      <c r="I358" s="115">
        <v>2030.0</v>
      </c>
      <c r="J358" s="221" t="s">
        <v>1409</v>
      </c>
      <c r="K358" s="137">
        <v>-0.3</v>
      </c>
      <c r="L358" s="115" t="s">
        <v>1410</v>
      </c>
      <c r="M358" s="128">
        <v>2020.0</v>
      </c>
      <c r="N358" s="136" t="s">
        <v>1346</v>
      </c>
      <c r="O358" s="115" t="s">
        <v>1411</v>
      </c>
      <c r="P358" s="132">
        <v>2018.0</v>
      </c>
      <c r="Q358" s="115"/>
      <c r="R358" s="137"/>
      <c r="S358" s="115"/>
      <c r="T358" s="124"/>
      <c r="U358" s="115"/>
      <c r="V358" s="132"/>
      <c r="W358" s="115"/>
      <c r="X358" s="138"/>
      <c r="Y358" s="115"/>
      <c r="Z358" s="124"/>
      <c r="AA358" s="115"/>
    </row>
    <row r="359">
      <c r="A359" s="111">
        <v>441.0</v>
      </c>
      <c r="B359" s="115" t="s">
        <v>1339</v>
      </c>
      <c r="C359" s="62" t="s">
        <v>219</v>
      </c>
      <c r="D359" s="115"/>
      <c r="E359" s="62" t="s">
        <v>208</v>
      </c>
      <c r="F359" s="62" t="s">
        <v>263</v>
      </c>
      <c r="G359" s="115" t="s">
        <v>280</v>
      </c>
      <c r="H359" s="115">
        <v>2021.0</v>
      </c>
      <c r="I359" s="115">
        <v>2024.0</v>
      </c>
      <c r="J359" s="221" t="s">
        <v>1412</v>
      </c>
      <c r="K359" s="137">
        <v>-0.21</v>
      </c>
      <c r="L359" s="115" t="s">
        <v>680</v>
      </c>
      <c r="M359" s="128">
        <v>2021.0</v>
      </c>
      <c r="N359" s="136" t="s">
        <v>1387</v>
      </c>
      <c r="O359" s="115" t="s">
        <v>1413</v>
      </c>
      <c r="P359" s="132">
        <v>2019.0</v>
      </c>
      <c r="Q359" s="115" t="s">
        <v>680</v>
      </c>
      <c r="R359" s="115">
        <v>492268.0</v>
      </c>
      <c r="S359" s="115" t="s">
        <v>653</v>
      </c>
      <c r="T359" s="136" t="s">
        <v>1414</v>
      </c>
      <c r="U359" s="115" t="s">
        <v>1415</v>
      </c>
      <c r="V359" s="132">
        <v>2024.0</v>
      </c>
      <c r="W359" s="115" t="s">
        <v>1416</v>
      </c>
      <c r="X359" s="138">
        <v>-0.1369</v>
      </c>
      <c r="Y359" s="115" t="s">
        <v>680</v>
      </c>
      <c r="Z359" s="136" t="s">
        <v>1414</v>
      </c>
      <c r="AA359" s="115" t="s">
        <v>1415</v>
      </c>
    </row>
    <row r="360">
      <c r="A360" s="111">
        <v>442.0</v>
      </c>
      <c r="B360" s="115" t="s">
        <v>1339</v>
      </c>
      <c r="C360" s="62" t="s">
        <v>343</v>
      </c>
      <c r="D360" s="115"/>
      <c r="E360" s="62" t="s">
        <v>231</v>
      </c>
      <c r="F360" s="62" t="s">
        <v>220</v>
      </c>
      <c r="G360" s="134"/>
      <c r="H360" s="115">
        <v>2021.0</v>
      </c>
      <c r="I360" s="115">
        <v>2025.0</v>
      </c>
      <c r="J360" s="221" t="s">
        <v>1417</v>
      </c>
      <c r="K360" s="137">
        <v>0.9</v>
      </c>
      <c r="L360" s="115" t="s">
        <v>1418</v>
      </c>
      <c r="M360" s="128">
        <v>2021.0</v>
      </c>
      <c r="N360" s="136" t="s">
        <v>1387</v>
      </c>
      <c r="O360" s="115" t="s">
        <v>1419</v>
      </c>
      <c r="P360" s="132">
        <v>2021.0</v>
      </c>
      <c r="Q360" s="115"/>
      <c r="R360" s="137">
        <v>0.82</v>
      </c>
      <c r="S360" s="115" t="s">
        <v>1418</v>
      </c>
      <c r="T360" s="136" t="s">
        <v>1387</v>
      </c>
      <c r="U360" s="115" t="s">
        <v>1419</v>
      </c>
      <c r="V360" s="132"/>
      <c r="W360" s="115"/>
      <c r="X360" s="138"/>
      <c r="Y360" s="115"/>
      <c r="Z360" s="124"/>
      <c r="AA360" s="115"/>
    </row>
    <row r="361">
      <c r="A361" s="111">
        <v>443.0</v>
      </c>
      <c r="B361" s="115" t="s">
        <v>1339</v>
      </c>
      <c r="C361" s="62" t="s">
        <v>343</v>
      </c>
      <c r="D361" s="115"/>
      <c r="E361" s="62" t="s">
        <v>231</v>
      </c>
      <c r="F361" s="62" t="s">
        <v>209</v>
      </c>
      <c r="G361" s="134"/>
      <c r="H361" s="115">
        <v>2021.0</v>
      </c>
      <c r="I361" s="115">
        <v>2025.0</v>
      </c>
      <c r="J361" s="221" t="s">
        <v>1420</v>
      </c>
      <c r="K361" s="137">
        <v>1.0</v>
      </c>
      <c r="L361" s="115" t="s">
        <v>1421</v>
      </c>
      <c r="M361" s="128">
        <v>2021.0</v>
      </c>
      <c r="N361" s="136" t="s">
        <v>1387</v>
      </c>
      <c r="O361" s="115" t="s">
        <v>1422</v>
      </c>
      <c r="P361" s="132"/>
      <c r="Q361" s="115"/>
      <c r="R361" s="137"/>
      <c r="S361" s="115"/>
      <c r="T361" s="124"/>
      <c r="U361" s="115"/>
      <c r="V361" s="132"/>
      <c r="W361" s="115"/>
      <c r="X361" s="138"/>
      <c r="Y361" s="115"/>
      <c r="Z361" s="124"/>
      <c r="AA361" s="115"/>
    </row>
    <row r="362">
      <c r="A362" s="111">
        <v>444.0</v>
      </c>
      <c r="B362" s="115" t="s">
        <v>1339</v>
      </c>
      <c r="C362" s="62" t="s">
        <v>343</v>
      </c>
      <c r="D362" s="115"/>
      <c r="E362" s="62" t="s">
        <v>231</v>
      </c>
      <c r="F362" s="62" t="s">
        <v>220</v>
      </c>
      <c r="G362" s="134"/>
      <c r="H362" s="115">
        <v>2021.0</v>
      </c>
      <c r="I362" s="115">
        <v>2030.0</v>
      </c>
      <c r="J362" s="221" t="s">
        <v>1423</v>
      </c>
      <c r="K362" s="137">
        <v>1.0</v>
      </c>
      <c r="L362" s="115" t="s">
        <v>1424</v>
      </c>
      <c r="M362" s="128">
        <v>2021.0</v>
      </c>
      <c r="N362" s="136" t="s">
        <v>1387</v>
      </c>
      <c r="O362" s="115" t="s">
        <v>1425</v>
      </c>
      <c r="P362" s="132"/>
      <c r="Q362" s="115"/>
      <c r="R362" s="137"/>
      <c r="S362" s="115"/>
      <c r="T362" s="124"/>
      <c r="U362" s="115"/>
      <c r="V362" s="132"/>
      <c r="W362" s="115"/>
      <c r="X362" s="138"/>
      <c r="Y362" s="115"/>
      <c r="Z362" s="124"/>
      <c r="AA362" s="115"/>
    </row>
    <row r="363">
      <c r="A363" s="111">
        <v>445.0</v>
      </c>
      <c r="B363" s="115" t="s">
        <v>1339</v>
      </c>
      <c r="C363" s="62" t="s">
        <v>343</v>
      </c>
      <c r="D363" s="115"/>
      <c r="E363" s="62" t="s">
        <v>231</v>
      </c>
      <c r="F363" s="62" t="s">
        <v>209</v>
      </c>
      <c r="G363" s="134"/>
      <c r="H363" s="115">
        <v>2021.0</v>
      </c>
      <c r="I363" s="115">
        <v>2030.0</v>
      </c>
      <c r="J363" s="221" t="s">
        <v>1426</v>
      </c>
      <c r="K363" s="137">
        <v>0.0</v>
      </c>
      <c r="L363" s="115" t="s">
        <v>1427</v>
      </c>
      <c r="M363" s="128">
        <v>2021.0</v>
      </c>
      <c r="N363" s="136" t="s">
        <v>1387</v>
      </c>
      <c r="O363" s="115" t="s">
        <v>1422</v>
      </c>
      <c r="P363" s="132"/>
      <c r="Q363" s="115"/>
      <c r="R363" s="137"/>
      <c r="S363" s="115"/>
      <c r="T363" s="124"/>
      <c r="U363" s="115"/>
      <c r="V363" s="132"/>
      <c r="W363" s="115"/>
      <c r="X363" s="138"/>
      <c r="Y363" s="115"/>
      <c r="Z363" s="124"/>
      <c r="AA363" s="115"/>
    </row>
    <row r="364">
      <c r="A364" s="111">
        <v>446.0</v>
      </c>
      <c r="B364" s="115" t="s">
        <v>1339</v>
      </c>
      <c r="C364" s="62" t="s">
        <v>343</v>
      </c>
      <c r="D364" s="115"/>
      <c r="E364" s="62" t="s">
        <v>208</v>
      </c>
      <c r="F364" s="62" t="s">
        <v>263</v>
      </c>
      <c r="G364" s="115" t="s">
        <v>280</v>
      </c>
      <c r="H364" s="115">
        <v>2021.0</v>
      </c>
      <c r="I364" s="115">
        <v>2030.0</v>
      </c>
      <c r="J364" s="221" t="s">
        <v>1428</v>
      </c>
      <c r="K364" s="137">
        <v>-0.46</v>
      </c>
      <c r="L364" s="115" t="s">
        <v>263</v>
      </c>
      <c r="M364" s="128">
        <v>2021.0</v>
      </c>
      <c r="N364" s="136" t="s">
        <v>1387</v>
      </c>
      <c r="O364" s="115" t="s">
        <v>1429</v>
      </c>
      <c r="P364" s="132">
        <v>2019.0</v>
      </c>
      <c r="Q364" s="115"/>
      <c r="R364" s="115">
        <v>505310.0</v>
      </c>
      <c r="S364" s="115" t="s">
        <v>653</v>
      </c>
      <c r="T364" s="136" t="s">
        <v>1414</v>
      </c>
      <c r="U364" s="115" t="s">
        <v>1415</v>
      </c>
      <c r="V364" s="132"/>
      <c r="W364" s="115"/>
      <c r="X364" s="138"/>
      <c r="Y364" s="115"/>
      <c r="Z364" s="124"/>
      <c r="AA364" s="115"/>
    </row>
    <row r="365">
      <c r="A365" s="111">
        <v>447.0</v>
      </c>
      <c r="B365" s="115" t="s">
        <v>1339</v>
      </c>
      <c r="C365" s="62" t="s">
        <v>343</v>
      </c>
      <c r="D365" s="115"/>
      <c r="E365" s="62" t="s">
        <v>383</v>
      </c>
      <c r="F365" s="62" t="s">
        <v>220</v>
      </c>
      <c r="G365" s="134"/>
      <c r="H365" s="115">
        <v>2023.0</v>
      </c>
      <c r="I365" s="115">
        <v>2030.0</v>
      </c>
      <c r="J365" s="221" t="s">
        <v>1430</v>
      </c>
      <c r="K365" s="137">
        <v>0.9</v>
      </c>
      <c r="L365" s="115" t="s">
        <v>1431</v>
      </c>
      <c r="M365" s="128">
        <v>2023.0</v>
      </c>
      <c r="N365" s="136" t="s">
        <v>1404</v>
      </c>
      <c r="O365" s="115" t="s">
        <v>1432</v>
      </c>
      <c r="P365" s="132"/>
      <c r="Q365" s="115"/>
      <c r="R365" s="137"/>
      <c r="S365" s="115"/>
      <c r="T365" s="124"/>
      <c r="U365" s="115"/>
      <c r="V365" s="132"/>
      <c r="W365" s="115"/>
      <c r="X365" s="138"/>
      <c r="Y365" s="115"/>
      <c r="Z365" s="124"/>
      <c r="AA365" s="115"/>
    </row>
    <row r="366">
      <c r="A366" s="111">
        <v>448.0</v>
      </c>
      <c r="B366" s="115" t="s">
        <v>1339</v>
      </c>
      <c r="C366" s="62" t="s">
        <v>343</v>
      </c>
      <c r="D366" s="115"/>
      <c r="E366" s="62" t="s">
        <v>208</v>
      </c>
      <c r="F366" s="62" t="s">
        <v>258</v>
      </c>
      <c r="G366" s="115" t="s">
        <v>494</v>
      </c>
      <c r="H366" s="115">
        <v>2023.0</v>
      </c>
      <c r="I366" s="115">
        <v>2040.0</v>
      </c>
      <c r="J366" s="221" t="s">
        <v>1433</v>
      </c>
      <c r="K366" s="137">
        <v>1.0</v>
      </c>
      <c r="L366" s="115" t="s">
        <v>1434</v>
      </c>
      <c r="M366" s="128">
        <v>2023.0</v>
      </c>
      <c r="N366" s="136" t="s">
        <v>1404</v>
      </c>
      <c r="O366" s="115" t="s">
        <v>1432</v>
      </c>
      <c r="P366" s="132">
        <v>2023.0</v>
      </c>
      <c r="Q366" s="115"/>
      <c r="R366" s="137">
        <v>0.02</v>
      </c>
      <c r="S366" s="115"/>
      <c r="T366" s="124"/>
      <c r="U366" s="115"/>
      <c r="V366" s="132"/>
      <c r="W366" s="115"/>
      <c r="X366" s="138"/>
      <c r="Y366" s="115"/>
      <c r="Z366" s="124"/>
      <c r="AA366" s="115"/>
    </row>
    <row r="367">
      <c r="A367" s="111">
        <v>449.0</v>
      </c>
      <c r="B367" s="115" t="s">
        <v>1339</v>
      </c>
      <c r="C367" s="62" t="s">
        <v>343</v>
      </c>
      <c r="D367" s="115"/>
      <c r="E367" s="62" t="s">
        <v>208</v>
      </c>
      <c r="F367" s="62" t="s">
        <v>258</v>
      </c>
      <c r="G367" s="134"/>
      <c r="H367" s="115">
        <v>2023.0</v>
      </c>
      <c r="I367" s="115">
        <v>2030.0</v>
      </c>
      <c r="J367" s="221" t="s">
        <v>1435</v>
      </c>
      <c r="K367" s="137">
        <v>0.0</v>
      </c>
      <c r="L367" s="115" t="s">
        <v>1436</v>
      </c>
      <c r="M367" s="128">
        <v>2023.0</v>
      </c>
      <c r="N367" s="136" t="s">
        <v>1404</v>
      </c>
      <c r="O367" s="115" t="s">
        <v>1432</v>
      </c>
      <c r="P367" s="132">
        <v>2023.0</v>
      </c>
      <c r="Q367" s="115"/>
      <c r="R367" s="224">
        <v>0.012</v>
      </c>
      <c r="S367" s="115" t="s">
        <v>1437</v>
      </c>
      <c r="T367" s="136" t="s">
        <v>1404</v>
      </c>
      <c r="U367" s="115" t="s">
        <v>1432</v>
      </c>
      <c r="V367" s="132"/>
      <c r="W367" s="115"/>
      <c r="X367" s="138"/>
      <c r="Y367" s="115"/>
      <c r="Z367" s="124"/>
      <c r="AA367" s="115"/>
    </row>
    <row r="368">
      <c r="A368" s="111">
        <v>450.0</v>
      </c>
      <c r="B368" s="115" t="s">
        <v>1339</v>
      </c>
      <c r="C368" s="62" t="s">
        <v>343</v>
      </c>
      <c r="D368" s="115"/>
      <c r="E368" s="62" t="s">
        <v>208</v>
      </c>
      <c r="F368" s="62" t="s">
        <v>263</v>
      </c>
      <c r="G368" s="115" t="s">
        <v>264</v>
      </c>
      <c r="H368" s="115">
        <v>2024.0</v>
      </c>
      <c r="I368" s="115">
        <v>2026.0</v>
      </c>
      <c r="J368" s="221" t="s">
        <v>1438</v>
      </c>
      <c r="K368" s="137">
        <v>-0.192</v>
      </c>
      <c r="L368" s="115" t="s">
        <v>1439</v>
      </c>
      <c r="M368" s="128">
        <v>2024.0</v>
      </c>
      <c r="N368" s="136" t="s">
        <v>1414</v>
      </c>
      <c r="O368" s="115" t="s">
        <v>1440</v>
      </c>
      <c r="P368" s="132">
        <v>2023.0</v>
      </c>
      <c r="Q368" s="115"/>
      <c r="R368" s="224"/>
      <c r="S368" s="115"/>
      <c r="T368" s="124"/>
      <c r="U368" s="115"/>
      <c r="V368" s="132"/>
      <c r="W368" s="115"/>
      <c r="X368" s="138"/>
      <c r="Y368" s="115"/>
      <c r="Z368" s="124"/>
      <c r="AA368" s="115"/>
    </row>
    <row r="369">
      <c r="A369" s="111">
        <v>451.0</v>
      </c>
      <c r="B369" s="115" t="s">
        <v>1339</v>
      </c>
      <c r="C369" s="62" t="s">
        <v>343</v>
      </c>
      <c r="D369" s="115"/>
      <c r="E369" s="62" t="s">
        <v>231</v>
      </c>
      <c r="F369" s="62" t="s">
        <v>220</v>
      </c>
      <c r="G369" s="134"/>
      <c r="H369" s="115">
        <v>2024.0</v>
      </c>
      <c r="I369" s="115">
        <v>2026.0</v>
      </c>
      <c r="J369" s="221" t="s">
        <v>1441</v>
      </c>
      <c r="K369" s="137">
        <v>0.65</v>
      </c>
      <c r="L369" s="115" t="s">
        <v>1442</v>
      </c>
      <c r="M369" s="128">
        <v>2024.0</v>
      </c>
      <c r="N369" s="136" t="s">
        <v>1414</v>
      </c>
      <c r="O369" s="115" t="s">
        <v>1440</v>
      </c>
      <c r="P369" s="132">
        <v>2024.0</v>
      </c>
      <c r="Q369" s="115"/>
      <c r="R369" s="224"/>
      <c r="S369" s="115"/>
      <c r="T369" s="124"/>
      <c r="U369" s="115"/>
      <c r="V369" s="132"/>
      <c r="W369" s="115"/>
      <c r="X369" s="138"/>
      <c r="Y369" s="115"/>
      <c r="Z369" s="124"/>
      <c r="AA369" s="115"/>
    </row>
    <row r="370">
      <c r="A370" s="111">
        <v>452.0</v>
      </c>
      <c r="B370" s="115" t="s">
        <v>1339</v>
      </c>
      <c r="C370" s="62" t="s">
        <v>343</v>
      </c>
      <c r="D370" s="115"/>
      <c r="E370" s="62" t="s">
        <v>231</v>
      </c>
      <c r="F370" s="62" t="s">
        <v>258</v>
      </c>
      <c r="G370" s="134"/>
      <c r="H370" s="115">
        <v>2024.0</v>
      </c>
      <c r="I370" s="115">
        <v>2026.0</v>
      </c>
      <c r="J370" s="221" t="s">
        <v>1443</v>
      </c>
      <c r="K370" s="137">
        <v>0.8</v>
      </c>
      <c r="L370" s="115" t="s">
        <v>1444</v>
      </c>
      <c r="M370" s="128">
        <v>2024.0</v>
      </c>
      <c r="N370" s="136" t="s">
        <v>1414</v>
      </c>
      <c r="O370" s="115" t="s">
        <v>1440</v>
      </c>
      <c r="P370" s="132">
        <v>2024.0</v>
      </c>
      <c r="Q370" s="115"/>
      <c r="R370" s="224"/>
      <c r="S370" s="115"/>
      <c r="T370" s="124"/>
      <c r="U370" s="115"/>
      <c r="V370" s="132"/>
      <c r="W370" s="115"/>
      <c r="X370" s="138"/>
      <c r="Y370" s="115"/>
      <c r="Z370" s="124"/>
      <c r="AA370" s="115"/>
    </row>
    <row r="371">
      <c r="A371" s="111">
        <v>453.0</v>
      </c>
      <c r="B371" s="115" t="s">
        <v>1339</v>
      </c>
      <c r="C371" s="62" t="s">
        <v>343</v>
      </c>
      <c r="D371" s="115"/>
      <c r="E371" s="62" t="s">
        <v>208</v>
      </c>
      <c r="F371" s="62" t="s">
        <v>258</v>
      </c>
      <c r="G371" s="115" t="s">
        <v>494</v>
      </c>
      <c r="H371" s="115">
        <v>2024.0</v>
      </c>
      <c r="I371" s="115">
        <v>2030.0</v>
      </c>
      <c r="J371" s="221" t="s">
        <v>1445</v>
      </c>
      <c r="K371" s="137">
        <v>1.0</v>
      </c>
      <c r="L371" s="115" t="s">
        <v>1446</v>
      </c>
      <c r="M371" s="128">
        <v>2024.0</v>
      </c>
      <c r="N371" s="136" t="s">
        <v>1414</v>
      </c>
      <c r="O371" s="115" t="s">
        <v>1440</v>
      </c>
      <c r="P371" s="132">
        <v>2019.0</v>
      </c>
      <c r="Q371" s="115"/>
      <c r="R371" s="224"/>
      <c r="S371" s="115"/>
      <c r="T371" s="124"/>
      <c r="U371" s="115"/>
      <c r="V371" s="132"/>
      <c r="W371" s="115"/>
      <c r="X371" s="138"/>
      <c r="Y371" s="115"/>
      <c r="Z371" s="124"/>
      <c r="AA371" s="115"/>
    </row>
    <row r="372">
      <c r="A372" s="111">
        <v>454.0</v>
      </c>
      <c r="B372" s="115" t="s">
        <v>1339</v>
      </c>
      <c r="C372" s="62" t="s">
        <v>343</v>
      </c>
      <c r="D372" s="115"/>
      <c r="E372" s="62" t="s">
        <v>208</v>
      </c>
      <c r="F372" s="62" t="s">
        <v>258</v>
      </c>
      <c r="G372" s="134" t="s">
        <v>494</v>
      </c>
      <c r="H372" s="115">
        <v>2024.0</v>
      </c>
      <c r="I372" s="115">
        <v>2028.0</v>
      </c>
      <c r="J372" s="221" t="s">
        <v>1447</v>
      </c>
      <c r="K372" s="137">
        <v>0.4</v>
      </c>
      <c r="L372" s="115" t="s">
        <v>1448</v>
      </c>
      <c r="M372" s="128">
        <v>2024.0</v>
      </c>
      <c r="N372" s="136" t="s">
        <v>1414</v>
      </c>
      <c r="O372" s="115" t="s">
        <v>1440</v>
      </c>
      <c r="P372" s="132">
        <v>2024.0</v>
      </c>
      <c r="Q372" s="115"/>
      <c r="R372" s="224"/>
      <c r="S372" s="115"/>
      <c r="T372" s="124"/>
      <c r="U372" s="115"/>
      <c r="V372" s="132"/>
      <c r="W372" s="115"/>
      <c r="X372" s="138"/>
      <c r="Y372" s="115"/>
      <c r="Z372" s="124"/>
      <c r="AA372" s="115"/>
    </row>
    <row r="373">
      <c r="A373" s="111">
        <v>456.0</v>
      </c>
      <c r="B373" s="122" t="s">
        <v>1449</v>
      </c>
      <c r="C373" s="269" t="s">
        <v>343</v>
      </c>
      <c r="D373" s="122"/>
      <c r="E373" s="113" t="s">
        <v>231</v>
      </c>
      <c r="F373" s="114" t="s">
        <v>244</v>
      </c>
      <c r="G373" s="260"/>
      <c r="H373" s="116">
        <v>2019.0</v>
      </c>
      <c r="I373" s="121">
        <v>2025.0</v>
      </c>
      <c r="J373" s="265" t="s">
        <v>1450</v>
      </c>
      <c r="K373" s="262"/>
      <c r="L373" s="122"/>
      <c r="M373" s="257">
        <v>2023.0</v>
      </c>
      <c r="N373" s="244" t="s">
        <v>1451</v>
      </c>
      <c r="O373" s="111"/>
      <c r="P373" s="263"/>
      <c r="Q373" s="120"/>
      <c r="R373" s="120"/>
      <c r="S373" s="120"/>
      <c r="T373" s="120"/>
      <c r="U373" s="120"/>
      <c r="V373" s="440"/>
      <c r="W373" s="145"/>
      <c r="X373" s="441"/>
      <c r="Y373" s="145"/>
      <c r="Z373" s="244"/>
      <c r="AA373" s="238"/>
    </row>
    <row r="374">
      <c r="A374" s="111">
        <v>457.0</v>
      </c>
      <c r="B374" s="122" t="s">
        <v>1449</v>
      </c>
      <c r="C374" s="268" t="s">
        <v>343</v>
      </c>
      <c r="D374" s="122"/>
      <c r="E374" s="113" t="s">
        <v>231</v>
      </c>
      <c r="F374" s="114" t="s">
        <v>244</v>
      </c>
      <c r="G374" s="260"/>
      <c r="H374" s="131">
        <v>2019.0</v>
      </c>
      <c r="I374" s="131">
        <v>2030.0</v>
      </c>
      <c r="J374" s="442" t="s">
        <v>1452</v>
      </c>
      <c r="K374" s="262"/>
      <c r="L374" s="122"/>
      <c r="M374" s="257">
        <v>2023.0</v>
      </c>
      <c r="N374" s="244" t="s">
        <v>1451</v>
      </c>
      <c r="O374" s="111"/>
      <c r="P374" s="263"/>
      <c r="Q374" s="120"/>
      <c r="R374" s="120"/>
      <c r="S374" s="120"/>
      <c r="T374" s="120"/>
      <c r="U374" s="120"/>
      <c r="V374" s="440"/>
      <c r="W374" s="145"/>
      <c r="X374" s="441"/>
      <c r="Y374" s="145"/>
      <c r="Z374" s="244"/>
      <c r="AA374" s="238"/>
    </row>
    <row r="375">
      <c r="A375" s="111">
        <v>458.0</v>
      </c>
      <c r="B375" s="127" t="s">
        <v>1449</v>
      </c>
      <c r="C375" s="443" t="s">
        <v>219</v>
      </c>
      <c r="D375" s="127"/>
      <c r="E375" s="252" t="s">
        <v>231</v>
      </c>
      <c r="F375" s="339" t="s">
        <v>263</v>
      </c>
      <c r="G375" s="115"/>
      <c r="H375" s="135">
        <v>2021.0</v>
      </c>
      <c r="I375" s="135">
        <v>2022.0</v>
      </c>
      <c r="J375" s="444" t="s">
        <v>1453</v>
      </c>
      <c r="K375" s="256">
        <v>0.6</v>
      </c>
      <c r="L375" s="127" t="s">
        <v>1454</v>
      </c>
      <c r="M375" s="257">
        <v>2021.0</v>
      </c>
      <c r="N375" s="445" t="s">
        <v>1387</v>
      </c>
      <c r="O375" s="232" t="s">
        <v>1455</v>
      </c>
      <c r="P375" s="446">
        <v>2019.0</v>
      </c>
      <c r="Q375" s="438"/>
      <c r="R375" s="256">
        <v>0.02</v>
      </c>
      <c r="S375" s="127" t="s">
        <v>1454</v>
      </c>
      <c r="T375" s="445" t="s">
        <v>1387</v>
      </c>
      <c r="U375" s="127" t="s">
        <v>1456</v>
      </c>
      <c r="V375" s="446">
        <v>2022.0</v>
      </c>
      <c r="W375" s="438"/>
      <c r="X375" s="256">
        <v>0.54</v>
      </c>
      <c r="Y375" s="438"/>
      <c r="Z375" s="445" t="s">
        <v>1457</v>
      </c>
      <c r="AA375" s="127" t="s">
        <v>1458</v>
      </c>
    </row>
    <row r="376">
      <c r="A376" s="111">
        <v>459.0</v>
      </c>
      <c r="B376" s="115" t="s">
        <v>1449</v>
      </c>
      <c r="C376" s="62" t="s">
        <v>343</v>
      </c>
      <c r="D376" s="115"/>
      <c r="E376" s="62" t="s">
        <v>208</v>
      </c>
      <c r="F376" s="62" t="s">
        <v>263</v>
      </c>
      <c r="G376" s="115" t="s">
        <v>280</v>
      </c>
      <c r="H376" s="115">
        <v>2021.0</v>
      </c>
      <c r="I376" s="115">
        <v>2026.0</v>
      </c>
      <c r="J376" s="221" t="s">
        <v>1459</v>
      </c>
      <c r="K376" s="115">
        <v>33270.96</v>
      </c>
      <c r="L376" s="115" t="s">
        <v>370</v>
      </c>
      <c r="M376" s="128">
        <v>2021.0</v>
      </c>
      <c r="N376" s="136" t="s">
        <v>1387</v>
      </c>
      <c r="O376" s="115" t="s">
        <v>1460</v>
      </c>
      <c r="P376" s="132">
        <v>2019.0</v>
      </c>
      <c r="Q376" s="115" t="s">
        <v>1461</v>
      </c>
      <c r="R376" s="115">
        <v>47126.0</v>
      </c>
      <c r="S376" s="115" t="s">
        <v>370</v>
      </c>
      <c r="T376" s="136" t="s">
        <v>1387</v>
      </c>
      <c r="U376" s="115" t="s">
        <v>1462</v>
      </c>
      <c r="V376" s="132">
        <v>2024.0</v>
      </c>
      <c r="W376" s="115" t="s">
        <v>1463</v>
      </c>
      <c r="X376" s="133">
        <v>31567.0</v>
      </c>
      <c r="Y376" s="115" t="s">
        <v>1463</v>
      </c>
      <c r="Z376" s="136" t="s">
        <v>1464</v>
      </c>
      <c r="AA376" s="115" t="s">
        <v>1465</v>
      </c>
    </row>
    <row r="377">
      <c r="A377" s="111">
        <v>460.0</v>
      </c>
      <c r="B377" s="122" t="s">
        <v>1449</v>
      </c>
      <c r="C377" s="264" t="s">
        <v>343</v>
      </c>
      <c r="D377" s="122"/>
      <c r="E377" s="113" t="s">
        <v>208</v>
      </c>
      <c r="F377" s="114" t="s">
        <v>258</v>
      </c>
      <c r="G377" s="115"/>
      <c r="H377" s="116">
        <v>2024.0</v>
      </c>
      <c r="I377" s="121">
        <v>2026.0</v>
      </c>
      <c r="J377" s="261" t="s">
        <v>1466</v>
      </c>
      <c r="K377" s="121">
        <v>638828.0</v>
      </c>
      <c r="L377" s="122" t="s">
        <v>1467</v>
      </c>
      <c r="M377" s="257">
        <v>2024.0</v>
      </c>
      <c r="N377" s="244" t="s">
        <v>1464</v>
      </c>
      <c r="O377" s="111" t="s">
        <v>1468</v>
      </c>
      <c r="P377" s="144">
        <v>2019.0</v>
      </c>
      <c r="Q377" s="120"/>
      <c r="R377" s="121">
        <v>1597070.0</v>
      </c>
      <c r="S377" s="122" t="s">
        <v>1467</v>
      </c>
      <c r="T377" s="123" t="s">
        <v>1451</v>
      </c>
      <c r="U377" s="122" t="s">
        <v>1469</v>
      </c>
      <c r="V377" s="144">
        <v>2024.0</v>
      </c>
      <c r="W377" s="120"/>
      <c r="X377" s="121">
        <v>817408.0</v>
      </c>
      <c r="Y377" s="120"/>
      <c r="Z377" s="123" t="s">
        <v>1464</v>
      </c>
      <c r="AA377" s="122" t="s">
        <v>1470</v>
      </c>
    </row>
    <row r="378">
      <c r="A378" s="111">
        <v>461.0</v>
      </c>
      <c r="B378" s="115" t="s">
        <v>1449</v>
      </c>
      <c r="C378" s="62" t="s">
        <v>343</v>
      </c>
      <c r="D378" s="115"/>
      <c r="E378" s="62" t="s">
        <v>208</v>
      </c>
      <c r="F378" s="62" t="s">
        <v>263</v>
      </c>
      <c r="G378" s="115" t="s">
        <v>280</v>
      </c>
      <c r="H378" s="115">
        <v>2021.0</v>
      </c>
      <c r="I378" s="115">
        <v>2029.0</v>
      </c>
      <c r="J378" s="221" t="s">
        <v>1471</v>
      </c>
      <c r="K378" s="115">
        <v>242873.84</v>
      </c>
      <c r="L378" s="115" t="s">
        <v>370</v>
      </c>
      <c r="M378" s="128">
        <v>2021.0</v>
      </c>
      <c r="N378" s="136" t="s">
        <v>1387</v>
      </c>
      <c r="O378" s="115" t="s">
        <v>1472</v>
      </c>
      <c r="P378" s="132">
        <v>2019.0</v>
      </c>
      <c r="Q378" s="115" t="s">
        <v>1473</v>
      </c>
      <c r="R378" s="115">
        <v>418748.0</v>
      </c>
      <c r="S378" s="115" t="s">
        <v>370</v>
      </c>
      <c r="T378" s="136" t="s">
        <v>1387</v>
      </c>
      <c r="U378" s="115" t="s">
        <v>1474</v>
      </c>
      <c r="V378" s="132">
        <v>2024.0</v>
      </c>
      <c r="W378" s="115" t="s">
        <v>1475</v>
      </c>
      <c r="X378" s="133">
        <v>293018.0</v>
      </c>
      <c r="Y378" s="115" t="s">
        <v>1475</v>
      </c>
      <c r="Z378" s="136" t="s">
        <v>1464</v>
      </c>
      <c r="AA378" s="115" t="s">
        <v>1476</v>
      </c>
    </row>
    <row r="379">
      <c r="A379" s="111">
        <v>464.0</v>
      </c>
      <c r="B379" s="122" t="s">
        <v>1449</v>
      </c>
      <c r="C379" s="266" t="s">
        <v>207</v>
      </c>
      <c r="D379" s="122"/>
      <c r="E379" s="113" t="s">
        <v>208</v>
      </c>
      <c r="F379" s="259" t="s">
        <v>258</v>
      </c>
      <c r="G379" s="260"/>
      <c r="H379" s="121">
        <v>2021.0</v>
      </c>
      <c r="I379" s="121">
        <v>2026.0</v>
      </c>
      <c r="J379" s="261" t="s">
        <v>1477</v>
      </c>
      <c r="K379" s="121">
        <v>4028414.0</v>
      </c>
      <c r="L379" s="122" t="s">
        <v>1478</v>
      </c>
      <c r="M379" s="117">
        <v>2021.0</v>
      </c>
      <c r="N379" s="123" t="s">
        <v>1387</v>
      </c>
      <c r="O379" s="122" t="s">
        <v>1479</v>
      </c>
      <c r="P379" s="144">
        <v>2019.0</v>
      </c>
      <c r="Q379" s="122" t="s">
        <v>1480</v>
      </c>
      <c r="R379" s="121">
        <v>2014207.0</v>
      </c>
      <c r="S379" s="122" t="s">
        <v>1478</v>
      </c>
      <c r="T379" s="123" t="s">
        <v>1387</v>
      </c>
      <c r="U379" s="122" t="s">
        <v>782</v>
      </c>
      <c r="V379" s="144">
        <v>2024.0</v>
      </c>
      <c r="W379" s="122" t="s">
        <v>1481</v>
      </c>
      <c r="X379" s="121">
        <v>6400000.0</v>
      </c>
      <c r="Y379" s="122" t="s">
        <v>1478</v>
      </c>
      <c r="Z379" s="123" t="s">
        <v>1464</v>
      </c>
      <c r="AA379" s="122" t="s">
        <v>1482</v>
      </c>
    </row>
    <row r="380">
      <c r="A380" s="111">
        <v>466.0</v>
      </c>
      <c r="B380" s="447" t="s">
        <v>1449</v>
      </c>
      <c r="C380" s="266" t="s">
        <v>207</v>
      </c>
      <c r="D380" s="447"/>
      <c r="E380" s="113" t="s">
        <v>208</v>
      </c>
      <c r="F380" s="448" t="s">
        <v>263</v>
      </c>
      <c r="G380" s="115"/>
      <c r="H380" s="449">
        <v>2022.0</v>
      </c>
      <c r="I380" s="449">
        <v>2023.0</v>
      </c>
      <c r="J380" s="265" t="s">
        <v>1483</v>
      </c>
      <c r="K380" s="262">
        <v>0.7</v>
      </c>
      <c r="L380" s="447" t="s">
        <v>1454</v>
      </c>
      <c r="M380" s="117">
        <v>2022.0</v>
      </c>
      <c r="N380" s="450" t="s">
        <v>1457</v>
      </c>
      <c r="O380" s="447" t="s">
        <v>1484</v>
      </c>
      <c r="P380" s="451">
        <v>2019.0</v>
      </c>
      <c r="Q380" s="452"/>
      <c r="R380" s="262">
        <v>0.02</v>
      </c>
      <c r="S380" s="447" t="s">
        <v>1454</v>
      </c>
      <c r="T380" s="450" t="s">
        <v>1387</v>
      </c>
      <c r="U380" s="452"/>
      <c r="V380" s="451">
        <v>2023.0</v>
      </c>
      <c r="W380" s="452"/>
      <c r="X380" s="262">
        <v>0.71</v>
      </c>
      <c r="Y380" s="447" t="s">
        <v>1454</v>
      </c>
      <c r="Z380" s="450" t="s">
        <v>1451</v>
      </c>
      <c r="AA380" s="447" t="s">
        <v>1485</v>
      </c>
    </row>
    <row r="381">
      <c r="A381" s="111">
        <v>467.0</v>
      </c>
      <c r="B381" s="122" t="s">
        <v>1449</v>
      </c>
      <c r="C381" s="264" t="s">
        <v>343</v>
      </c>
      <c r="D381" s="122"/>
      <c r="E381" s="113" t="s">
        <v>383</v>
      </c>
      <c r="F381" s="113" t="s">
        <v>720</v>
      </c>
      <c r="G381" s="272"/>
      <c r="H381" s="121">
        <v>2022.0</v>
      </c>
      <c r="I381" s="121">
        <v>2030.0</v>
      </c>
      <c r="J381" s="261" t="s">
        <v>1486</v>
      </c>
      <c r="K381" s="122" t="s">
        <v>1487</v>
      </c>
      <c r="L381" s="122" t="s">
        <v>1488</v>
      </c>
      <c r="M381" s="117">
        <v>2023.0</v>
      </c>
      <c r="N381" s="123" t="s">
        <v>1451</v>
      </c>
      <c r="O381" s="122" t="s">
        <v>1489</v>
      </c>
      <c r="P381" s="263"/>
      <c r="Q381" s="120"/>
      <c r="R381" s="120"/>
      <c r="S381" s="120"/>
      <c r="T381" s="120"/>
      <c r="U381" s="120"/>
      <c r="V381" s="263"/>
      <c r="W381" s="120"/>
      <c r="X381" s="120"/>
      <c r="Y381" s="120"/>
      <c r="Z381" s="120"/>
      <c r="AA381" s="120"/>
    </row>
    <row r="382">
      <c r="A382" s="111">
        <v>468.0</v>
      </c>
      <c r="B382" s="127" t="s">
        <v>1449</v>
      </c>
      <c r="C382" s="270" t="s">
        <v>343</v>
      </c>
      <c r="D382" s="127"/>
      <c r="E382" s="252" t="s">
        <v>208</v>
      </c>
      <c r="F382" s="339" t="s">
        <v>263</v>
      </c>
      <c r="G382" s="115"/>
      <c r="H382" s="135">
        <v>2023.0</v>
      </c>
      <c r="I382" s="135">
        <v>2026.0</v>
      </c>
      <c r="J382" s="444" t="s">
        <v>1490</v>
      </c>
      <c r="K382" s="256">
        <v>0.95</v>
      </c>
      <c r="L382" s="127" t="s">
        <v>1454</v>
      </c>
      <c r="M382" s="257">
        <v>2023.0</v>
      </c>
      <c r="N382" s="445" t="s">
        <v>1451</v>
      </c>
      <c r="O382" s="127" t="s">
        <v>1469</v>
      </c>
      <c r="P382" s="446">
        <v>2019.0</v>
      </c>
      <c r="Q382" s="438"/>
      <c r="R382" s="256">
        <v>0.02</v>
      </c>
      <c r="S382" s="127" t="s">
        <v>1454</v>
      </c>
      <c r="T382" s="445" t="s">
        <v>1387</v>
      </c>
      <c r="U382" s="438"/>
      <c r="V382" s="446">
        <v>2024.0</v>
      </c>
      <c r="W382" s="438"/>
      <c r="X382" s="256">
        <v>0.85</v>
      </c>
      <c r="Y382" s="438"/>
      <c r="Z382" s="445" t="s">
        <v>1464</v>
      </c>
      <c r="AA382" s="127" t="s">
        <v>1491</v>
      </c>
    </row>
    <row r="383">
      <c r="A383" s="111">
        <v>470.0</v>
      </c>
      <c r="B383" s="122" t="s">
        <v>1449</v>
      </c>
      <c r="C383" s="264" t="s">
        <v>343</v>
      </c>
      <c r="D383" s="122"/>
      <c r="E383" s="113" t="s">
        <v>208</v>
      </c>
      <c r="F383" s="259" t="s">
        <v>420</v>
      </c>
      <c r="G383" s="134" t="s">
        <v>374</v>
      </c>
      <c r="H383" s="121">
        <v>2023.0</v>
      </c>
      <c r="I383" s="121">
        <v>2026.0</v>
      </c>
      <c r="J383" s="261" t="s">
        <v>1492</v>
      </c>
      <c r="K383" s="262">
        <v>0.95</v>
      </c>
      <c r="L383" s="122" t="s">
        <v>693</v>
      </c>
      <c r="M383" s="117">
        <v>2024.0</v>
      </c>
      <c r="N383" s="123" t="s">
        <v>1464</v>
      </c>
      <c r="O383" s="122" t="s">
        <v>1249</v>
      </c>
      <c r="P383" s="144">
        <v>2022.0</v>
      </c>
      <c r="Q383" s="120"/>
      <c r="R383" s="262">
        <v>0.84</v>
      </c>
      <c r="S383" s="122" t="s">
        <v>693</v>
      </c>
      <c r="T383" s="123" t="s">
        <v>1464</v>
      </c>
      <c r="U383" s="122" t="s">
        <v>1249</v>
      </c>
      <c r="V383" s="144">
        <v>2024.0</v>
      </c>
      <c r="W383" s="120"/>
      <c r="X383" s="262">
        <v>0.9</v>
      </c>
      <c r="Y383" s="122" t="s">
        <v>693</v>
      </c>
      <c r="Z383" s="123" t="s">
        <v>1464</v>
      </c>
      <c r="AA383" s="122" t="s">
        <v>1249</v>
      </c>
    </row>
    <row r="384">
      <c r="A384" s="111">
        <v>471.0</v>
      </c>
      <c r="B384" s="130" t="s">
        <v>1449</v>
      </c>
      <c r="C384" s="270" t="s">
        <v>343</v>
      </c>
      <c r="D384" s="130"/>
      <c r="E384" s="252" t="s">
        <v>231</v>
      </c>
      <c r="F384" s="253" t="s">
        <v>420</v>
      </c>
      <c r="G384" s="267"/>
      <c r="H384" s="254">
        <v>2023.0</v>
      </c>
      <c r="I384" s="254">
        <v>2026.0</v>
      </c>
      <c r="J384" s="255" t="s">
        <v>1493</v>
      </c>
      <c r="K384" s="256">
        <v>0.8</v>
      </c>
      <c r="L384" s="130" t="s">
        <v>693</v>
      </c>
      <c r="M384" s="257">
        <v>2024.0</v>
      </c>
      <c r="N384" s="244" t="s">
        <v>1464</v>
      </c>
      <c r="O384" s="130" t="s">
        <v>1249</v>
      </c>
      <c r="P384" s="243">
        <v>2022.0</v>
      </c>
      <c r="Q384" s="242"/>
      <c r="R384" s="256">
        <v>0.37</v>
      </c>
      <c r="S384" s="130" t="s">
        <v>693</v>
      </c>
      <c r="T384" s="244" t="s">
        <v>1464</v>
      </c>
      <c r="U384" s="130" t="s">
        <v>1249</v>
      </c>
      <c r="V384" s="243">
        <v>2024.0</v>
      </c>
      <c r="W384" s="242"/>
      <c r="X384" s="256">
        <v>0.52</v>
      </c>
      <c r="Y384" s="130" t="s">
        <v>693</v>
      </c>
      <c r="Z384" s="244" t="s">
        <v>1464</v>
      </c>
      <c r="AA384" s="130" t="s">
        <v>1249</v>
      </c>
    </row>
    <row r="385">
      <c r="A385" s="111">
        <v>472.0</v>
      </c>
      <c r="B385" s="122" t="s">
        <v>1449</v>
      </c>
      <c r="C385" s="264" t="s">
        <v>343</v>
      </c>
      <c r="D385" s="122"/>
      <c r="E385" s="113" t="s">
        <v>208</v>
      </c>
      <c r="F385" s="114" t="s">
        <v>220</v>
      </c>
      <c r="G385" s="115" t="s">
        <v>251</v>
      </c>
      <c r="H385" s="121">
        <v>2023.0</v>
      </c>
      <c r="I385" s="121">
        <v>2026.0</v>
      </c>
      <c r="J385" s="261" t="s">
        <v>1494</v>
      </c>
      <c r="K385" s="453">
        <v>0.7</v>
      </c>
      <c r="L385" s="122" t="s">
        <v>693</v>
      </c>
      <c r="M385" s="117">
        <v>2024.0</v>
      </c>
      <c r="N385" s="123" t="s">
        <v>1464</v>
      </c>
      <c r="O385" s="122" t="s">
        <v>1249</v>
      </c>
      <c r="P385" s="144">
        <v>2022.0</v>
      </c>
      <c r="Q385" s="120"/>
      <c r="R385" s="262">
        <v>0.36</v>
      </c>
      <c r="S385" s="122" t="s">
        <v>693</v>
      </c>
      <c r="T385" s="123" t="s">
        <v>1464</v>
      </c>
      <c r="U385" s="122" t="s">
        <v>1249</v>
      </c>
      <c r="V385" s="144">
        <v>2024.0</v>
      </c>
      <c r="W385" s="120"/>
      <c r="X385" s="262">
        <v>0.45</v>
      </c>
      <c r="Y385" s="122" t="s">
        <v>693</v>
      </c>
      <c r="Z385" s="123" t="s">
        <v>1464</v>
      </c>
      <c r="AA385" s="122" t="s">
        <v>1249</v>
      </c>
    </row>
    <row r="386">
      <c r="A386" s="111">
        <v>473.0</v>
      </c>
      <c r="B386" s="130" t="s">
        <v>1449</v>
      </c>
      <c r="C386" s="270" t="s">
        <v>343</v>
      </c>
      <c r="D386" s="130"/>
      <c r="E386" s="252" t="s">
        <v>208</v>
      </c>
      <c r="F386" s="253" t="s">
        <v>420</v>
      </c>
      <c r="G386" s="267"/>
      <c r="H386" s="254">
        <v>2023.0</v>
      </c>
      <c r="I386" s="254">
        <v>2026.0</v>
      </c>
      <c r="J386" s="255" t="s">
        <v>1495</v>
      </c>
      <c r="K386" s="256">
        <v>1.0</v>
      </c>
      <c r="L386" s="130" t="s">
        <v>693</v>
      </c>
      <c r="M386" s="257">
        <v>2024.0</v>
      </c>
      <c r="N386" s="244" t="s">
        <v>1464</v>
      </c>
      <c r="O386" s="130" t="s">
        <v>1249</v>
      </c>
      <c r="P386" s="243">
        <v>2022.0</v>
      </c>
      <c r="Q386" s="242"/>
      <c r="R386" s="256">
        <v>0.24</v>
      </c>
      <c r="S386" s="130" t="s">
        <v>693</v>
      </c>
      <c r="T386" s="244" t="s">
        <v>1464</v>
      </c>
      <c r="U386" s="130" t="s">
        <v>1249</v>
      </c>
      <c r="V386" s="243">
        <v>2024.0</v>
      </c>
      <c r="W386" s="242"/>
      <c r="X386" s="256">
        <v>0.49</v>
      </c>
      <c r="Y386" s="130" t="s">
        <v>693</v>
      </c>
      <c r="Z386" s="244" t="s">
        <v>1464</v>
      </c>
      <c r="AA386" s="130" t="s">
        <v>1249</v>
      </c>
    </row>
    <row r="387">
      <c r="A387" s="111">
        <v>474.0</v>
      </c>
      <c r="B387" s="122" t="s">
        <v>1449</v>
      </c>
      <c r="C387" s="269" t="s">
        <v>343</v>
      </c>
      <c r="D387" s="122"/>
      <c r="E387" s="113" t="s">
        <v>208</v>
      </c>
      <c r="F387" s="259" t="s">
        <v>220</v>
      </c>
      <c r="G387" s="260"/>
      <c r="H387" s="121">
        <v>2023.0</v>
      </c>
      <c r="I387" s="121">
        <v>2026.0</v>
      </c>
      <c r="J387" s="261" t="s">
        <v>1496</v>
      </c>
      <c r="K387" s="453">
        <v>0.1</v>
      </c>
      <c r="L387" s="122" t="s">
        <v>693</v>
      </c>
      <c r="M387" s="117">
        <v>2023.0</v>
      </c>
      <c r="N387" s="123" t="s">
        <v>1451</v>
      </c>
      <c r="O387" s="122" t="s">
        <v>1497</v>
      </c>
      <c r="P387" s="144">
        <v>2019.0</v>
      </c>
      <c r="Q387" s="120"/>
      <c r="R387" s="262">
        <v>0.1</v>
      </c>
      <c r="S387" s="122" t="s">
        <v>693</v>
      </c>
      <c r="T387" s="123" t="s">
        <v>1451</v>
      </c>
      <c r="U387" s="122" t="s">
        <v>1497</v>
      </c>
      <c r="V387" s="144">
        <v>2024.0</v>
      </c>
      <c r="W387" s="120"/>
      <c r="X387" s="262">
        <v>0.09</v>
      </c>
      <c r="Y387" s="122" t="s">
        <v>693</v>
      </c>
      <c r="Z387" s="123" t="s">
        <v>1464</v>
      </c>
      <c r="AA387" s="122" t="s">
        <v>766</v>
      </c>
    </row>
    <row r="388">
      <c r="A388" s="111">
        <v>475.0</v>
      </c>
      <c r="B388" s="130" t="s">
        <v>1449</v>
      </c>
      <c r="C388" s="270" t="s">
        <v>343</v>
      </c>
      <c r="D388" s="130"/>
      <c r="E388" s="252" t="s">
        <v>208</v>
      </c>
      <c r="F388" s="253" t="s">
        <v>220</v>
      </c>
      <c r="G388" s="267"/>
      <c r="H388" s="254">
        <v>2023.0</v>
      </c>
      <c r="I388" s="254">
        <v>2026.0</v>
      </c>
      <c r="J388" s="255" t="s">
        <v>1498</v>
      </c>
      <c r="K388" s="256">
        <v>0.85</v>
      </c>
      <c r="L388" s="130" t="s">
        <v>693</v>
      </c>
      <c r="M388" s="257">
        <v>2023.0</v>
      </c>
      <c r="N388" s="244" t="s">
        <v>1451</v>
      </c>
      <c r="O388" s="130" t="s">
        <v>1497</v>
      </c>
      <c r="P388" s="243">
        <v>2019.0</v>
      </c>
      <c r="Q388" s="242"/>
      <c r="R388" s="256">
        <v>0.55</v>
      </c>
      <c r="S388" s="130" t="s">
        <v>693</v>
      </c>
      <c r="T388" s="244" t="s">
        <v>1451</v>
      </c>
      <c r="U388" s="130" t="s">
        <v>1497</v>
      </c>
      <c r="V388" s="243">
        <v>2024.0</v>
      </c>
      <c r="W388" s="242"/>
      <c r="X388" s="256">
        <v>0.75</v>
      </c>
      <c r="Y388" s="130" t="s">
        <v>693</v>
      </c>
      <c r="Z388" s="244" t="s">
        <v>1464</v>
      </c>
      <c r="AA388" s="130" t="s">
        <v>766</v>
      </c>
    </row>
    <row r="389">
      <c r="A389" s="111">
        <v>476.0</v>
      </c>
      <c r="B389" s="122" t="s">
        <v>1449</v>
      </c>
      <c r="C389" s="266" t="s">
        <v>207</v>
      </c>
      <c r="D389" s="122"/>
      <c r="E389" s="113" t="s">
        <v>208</v>
      </c>
      <c r="F389" s="114" t="s">
        <v>244</v>
      </c>
      <c r="G389" s="260"/>
      <c r="H389" s="116">
        <v>2019.0</v>
      </c>
      <c r="I389" s="121">
        <v>2025.0</v>
      </c>
      <c r="J389" s="265" t="s">
        <v>1499</v>
      </c>
      <c r="K389" s="143">
        <v>0.5</v>
      </c>
      <c r="L389" s="122"/>
      <c r="M389" s="257">
        <v>2023.0</v>
      </c>
      <c r="N389" s="244" t="s">
        <v>1451</v>
      </c>
      <c r="O389" s="111" t="s">
        <v>1500</v>
      </c>
      <c r="P389" s="263"/>
      <c r="Q389" s="120"/>
      <c r="R389" s="120"/>
      <c r="S389" s="120"/>
      <c r="T389" s="120"/>
      <c r="U389" s="120"/>
      <c r="V389" s="440">
        <v>2024.0</v>
      </c>
      <c r="W389" s="145" t="s">
        <v>1501</v>
      </c>
      <c r="X389" s="441">
        <v>0.83</v>
      </c>
      <c r="Y389" s="145" t="s">
        <v>693</v>
      </c>
      <c r="Z389" s="244" t="s">
        <v>1464</v>
      </c>
      <c r="AA389" s="238" t="s">
        <v>766</v>
      </c>
    </row>
    <row r="390">
      <c r="A390" s="111">
        <v>477.0</v>
      </c>
      <c r="B390" s="130" t="s">
        <v>1449</v>
      </c>
      <c r="C390" s="268" t="s">
        <v>343</v>
      </c>
      <c r="D390" s="130"/>
      <c r="E390" s="252" t="s">
        <v>208</v>
      </c>
      <c r="F390" s="114" t="s">
        <v>244</v>
      </c>
      <c r="G390" s="267"/>
      <c r="H390" s="131">
        <v>2019.0</v>
      </c>
      <c r="I390" s="131">
        <v>2030.0</v>
      </c>
      <c r="J390" s="442" t="s">
        <v>1502</v>
      </c>
      <c r="K390" s="143">
        <v>0.5</v>
      </c>
      <c r="L390" s="130"/>
      <c r="M390" s="257">
        <v>2023.0</v>
      </c>
      <c r="N390" s="244" t="s">
        <v>1451</v>
      </c>
      <c r="O390" s="232" t="s">
        <v>1500</v>
      </c>
      <c r="P390" s="246"/>
      <c r="Q390" s="242"/>
      <c r="R390" s="242"/>
      <c r="S390" s="242"/>
      <c r="T390" s="242"/>
      <c r="U390" s="242"/>
      <c r="V390" s="241">
        <v>2024.0</v>
      </c>
      <c r="W390" s="145" t="s">
        <v>1503</v>
      </c>
      <c r="X390" s="237">
        <v>0.44</v>
      </c>
      <c r="Y390" s="238" t="s">
        <v>693</v>
      </c>
      <c r="Z390" s="244" t="s">
        <v>1464</v>
      </c>
      <c r="AA390" s="238" t="s">
        <v>766</v>
      </c>
    </row>
    <row r="391">
      <c r="A391" s="111">
        <v>478.0</v>
      </c>
      <c r="B391" s="122" t="s">
        <v>1449</v>
      </c>
      <c r="C391" s="269" t="s">
        <v>343</v>
      </c>
      <c r="D391" s="122"/>
      <c r="E391" s="113" t="s">
        <v>231</v>
      </c>
      <c r="F391" s="259" t="s">
        <v>220</v>
      </c>
      <c r="G391" s="260"/>
      <c r="H391" s="121">
        <v>2023.0</v>
      </c>
      <c r="I391" s="121">
        <v>2026.0</v>
      </c>
      <c r="J391" s="261" t="s">
        <v>1504</v>
      </c>
      <c r="K391" s="453">
        <v>0.95</v>
      </c>
      <c r="L391" s="122" t="s">
        <v>693</v>
      </c>
      <c r="M391" s="117">
        <v>2023.0</v>
      </c>
      <c r="N391" s="123" t="s">
        <v>1451</v>
      </c>
      <c r="O391" s="122" t="s">
        <v>1505</v>
      </c>
      <c r="P391" s="144">
        <v>2019.0</v>
      </c>
      <c r="Q391" s="120"/>
      <c r="R391" s="262">
        <v>0.84</v>
      </c>
      <c r="S391" s="122" t="s">
        <v>693</v>
      </c>
      <c r="T391" s="123" t="s">
        <v>1451</v>
      </c>
      <c r="U391" s="122" t="s">
        <v>1505</v>
      </c>
      <c r="V391" s="144">
        <v>2024.0</v>
      </c>
      <c r="W391" s="120"/>
      <c r="X391" s="262">
        <v>0.97</v>
      </c>
      <c r="Y391" s="122" t="s">
        <v>693</v>
      </c>
      <c r="Z391" s="123" t="s">
        <v>1464</v>
      </c>
      <c r="AA391" s="122" t="s">
        <v>1506</v>
      </c>
    </row>
    <row r="392">
      <c r="A392" s="111">
        <v>479.0</v>
      </c>
      <c r="B392" s="130" t="s">
        <v>1449</v>
      </c>
      <c r="C392" s="270" t="s">
        <v>343</v>
      </c>
      <c r="D392" s="130"/>
      <c r="E392" s="252" t="s">
        <v>208</v>
      </c>
      <c r="F392" s="62" t="s">
        <v>209</v>
      </c>
      <c r="G392" s="267"/>
      <c r="H392" s="131">
        <v>2024.0</v>
      </c>
      <c r="I392" s="254">
        <v>2026.0</v>
      </c>
      <c r="J392" s="255" t="s">
        <v>1507</v>
      </c>
      <c r="K392" s="242"/>
      <c r="L392" s="242"/>
      <c r="M392" s="257">
        <v>2024.0</v>
      </c>
      <c r="N392" s="244" t="s">
        <v>1464</v>
      </c>
      <c r="O392" s="130" t="s">
        <v>1508</v>
      </c>
      <c r="P392" s="246"/>
      <c r="Q392" s="242"/>
      <c r="R392" s="242"/>
      <c r="S392" s="242"/>
      <c r="T392" s="242"/>
      <c r="U392" s="242"/>
      <c r="V392" s="246"/>
      <c r="W392" s="242"/>
      <c r="X392" s="454"/>
      <c r="Y392" s="242"/>
      <c r="Z392" s="242"/>
      <c r="AA392" s="242"/>
    </row>
    <row r="393">
      <c r="A393" s="111">
        <v>480.0</v>
      </c>
      <c r="B393" s="122" t="s">
        <v>1449</v>
      </c>
      <c r="C393" s="266" t="s">
        <v>207</v>
      </c>
      <c r="D393" s="122"/>
      <c r="E393" s="113" t="s">
        <v>231</v>
      </c>
      <c r="F393" s="259" t="s">
        <v>244</v>
      </c>
      <c r="G393" s="260"/>
      <c r="H393" s="121">
        <v>2023.0</v>
      </c>
      <c r="I393" s="121">
        <v>2026.0</v>
      </c>
      <c r="J393" s="261" t="s">
        <v>1509</v>
      </c>
      <c r="K393" s="262">
        <v>0.75</v>
      </c>
      <c r="L393" s="122" t="s">
        <v>693</v>
      </c>
      <c r="M393" s="117">
        <v>2023.0</v>
      </c>
      <c r="N393" s="123" t="s">
        <v>1451</v>
      </c>
      <c r="O393" s="122" t="s">
        <v>1510</v>
      </c>
      <c r="P393" s="144">
        <v>2019.0</v>
      </c>
      <c r="Q393" s="120"/>
      <c r="R393" s="262">
        <v>0.45</v>
      </c>
      <c r="S393" s="122" t="s">
        <v>693</v>
      </c>
      <c r="T393" s="123" t="s">
        <v>1451</v>
      </c>
      <c r="U393" s="122" t="s">
        <v>1511</v>
      </c>
      <c r="V393" s="144">
        <v>2024.0</v>
      </c>
      <c r="W393" s="120"/>
      <c r="X393" s="262">
        <v>0.89</v>
      </c>
      <c r="Y393" s="122" t="s">
        <v>693</v>
      </c>
      <c r="Z393" s="123" t="s">
        <v>1464</v>
      </c>
      <c r="AA393" s="122" t="s">
        <v>1505</v>
      </c>
    </row>
    <row r="394">
      <c r="A394" s="111">
        <v>481.0</v>
      </c>
      <c r="B394" s="130" t="s">
        <v>1449</v>
      </c>
      <c r="C394" s="277" t="s">
        <v>207</v>
      </c>
      <c r="D394" s="130"/>
      <c r="E394" s="252" t="s">
        <v>231</v>
      </c>
      <c r="F394" s="253" t="s">
        <v>244</v>
      </c>
      <c r="G394" s="267"/>
      <c r="H394" s="254">
        <v>2023.0</v>
      </c>
      <c r="I394" s="254">
        <v>2026.0</v>
      </c>
      <c r="J394" s="255" t="s">
        <v>1512</v>
      </c>
      <c r="K394" s="247">
        <v>0.95</v>
      </c>
      <c r="L394" s="130" t="s">
        <v>693</v>
      </c>
      <c r="M394" s="257">
        <v>2023.0</v>
      </c>
      <c r="N394" s="244" t="s">
        <v>1451</v>
      </c>
      <c r="O394" s="130" t="s">
        <v>1513</v>
      </c>
      <c r="P394" s="243">
        <v>2019.0</v>
      </c>
      <c r="Q394" s="242"/>
      <c r="R394" s="256">
        <v>0.6</v>
      </c>
      <c r="S394" s="130" t="s">
        <v>693</v>
      </c>
      <c r="T394" s="244" t="s">
        <v>1451</v>
      </c>
      <c r="U394" s="130" t="s">
        <v>1513</v>
      </c>
      <c r="V394" s="243">
        <v>2024.0</v>
      </c>
      <c r="W394" s="130" t="s">
        <v>1514</v>
      </c>
      <c r="X394" s="256">
        <v>1.0</v>
      </c>
      <c r="Y394" s="130" t="s">
        <v>693</v>
      </c>
      <c r="Z394" s="244" t="s">
        <v>1464</v>
      </c>
      <c r="AA394" s="130" t="s">
        <v>1505</v>
      </c>
    </row>
    <row r="395">
      <c r="A395" s="111">
        <v>483.0</v>
      </c>
      <c r="B395" s="130" t="s">
        <v>1449</v>
      </c>
      <c r="C395" s="270" t="s">
        <v>343</v>
      </c>
      <c r="D395" s="130"/>
      <c r="E395" s="252" t="s">
        <v>208</v>
      </c>
      <c r="F395" s="253" t="s">
        <v>258</v>
      </c>
      <c r="G395" s="267"/>
      <c r="H395" s="254">
        <v>2024.0</v>
      </c>
      <c r="I395" s="254">
        <v>2026.0</v>
      </c>
      <c r="J395" s="255" t="s">
        <v>1515</v>
      </c>
      <c r="K395" s="256">
        <v>0.9</v>
      </c>
      <c r="L395" s="130" t="s">
        <v>693</v>
      </c>
      <c r="M395" s="257">
        <v>2024.0</v>
      </c>
      <c r="N395" s="244" t="s">
        <v>1464</v>
      </c>
      <c r="O395" s="130" t="s">
        <v>782</v>
      </c>
      <c r="P395" s="246"/>
      <c r="Q395" s="242"/>
      <c r="R395" s="242"/>
      <c r="S395" s="242"/>
      <c r="T395" s="242"/>
      <c r="U395" s="242"/>
      <c r="V395" s="246"/>
      <c r="W395" s="242"/>
      <c r="X395" s="242"/>
      <c r="Y395" s="242"/>
      <c r="Z395" s="242"/>
      <c r="AA395" s="242"/>
    </row>
    <row r="396">
      <c r="A396" s="111">
        <v>484.0</v>
      </c>
      <c r="B396" s="130" t="s">
        <v>1449</v>
      </c>
      <c r="C396" s="270" t="s">
        <v>343</v>
      </c>
      <c r="D396" s="130"/>
      <c r="E396" s="252" t="s">
        <v>208</v>
      </c>
      <c r="F396" s="253" t="s">
        <v>258</v>
      </c>
      <c r="G396" s="267"/>
      <c r="H396" s="254">
        <v>2024.0</v>
      </c>
      <c r="I396" s="254">
        <v>2026.0</v>
      </c>
      <c r="J396" s="255" t="s">
        <v>1516</v>
      </c>
      <c r="K396" s="256">
        <v>0.2</v>
      </c>
      <c r="L396" s="130" t="s">
        <v>693</v>
      </c>
      <c r="M396" s="257">
        <v>2024.0</v>
      </c>
      <c r="N396" s="244" t="s">
        <v>1464</v>
      </c>
      <c r="O396" s="130" t="s">
        <v>1482</v>
      </c>
      <c r="P396" s="243">
        <v>2024.0</v>
      </c>
      <c r="Q396" s="130" t="s">
        <v>1517</v>
      </c>
      <c r="R396" s="256">
        <v>0.15</v>
      </c>
      <c r="S396" s="130" t="s">
        <v>693</v>
      </c>
      <c r="T396" s="244" t="s">
        <v>1464</v>
      </c>
      <c r="U396" s="130" t="s">
        <v>1482</v>
      </c>
      <c r="V396" s="246"/>
      <c r="W396" s="242"/>
      <c r="X396" s="242"/>
      <c r="Y396" s="242"/>
      <c r="Z396" s="242"/>
      <c r="AA396" s="242"/>
    </row>
    <row r="397">
      <c r="A397" s="111">
        <v>485.0</v>
      </c>
      <c r="B397" s="130" t="s">
        <v>1449</v>
      </c>
      <c r="C397" s="270" t="s">
        <v>343</v>
      </c>
      <c r="D397" s="130"/>
      <c r="E397" s="252" t="s">
        <v>231</v>
      </c>
      <c r="F397" s="234" t="s">
        <v>373</v>
      </c>
      <c r="G397" s="271"/>
      <c r="H397" s="131">
        <v>2024.0</v>
      </c>
      <c r="I397" s="254">
        <v>2026.0</v>
      </c>
      <c r="J397" s="255" t="s">
        <v>1518</v>
      </c>
      <c r="K397" s="256">
        <v>1.0</v>
      </c>
      <c r="L397" s="238" t="s">
        <v>693</v>
      </c>
      <c r="M397" s="455">
        <v>2024.0</v>
      </c>
      <c r="N397" s="244" t="s">
        <v>1519</v>
      </c>
      <c r="O397" s="130" t="s">
        <v>1520</v>
      </c>
      <c r="P397" s="246"/>
      <c r="Q397" s="242"/>
      <c r="R397" s="242"/>
      <c r="S397" s="242"/>
      <c r="T397" s="242"/>
      <c r="U397" s="242"/>
      <c r="V397" s="246"/>
      <c r="W397" s="242"/>
      <c r="X397" s="242"/>
      <c r="Y397" s="242"/>
      <c r="Z397" s="242"/>
      <c r="AA397" s="242"/>
    </row>
    <row r="398">
      <c r="A398" s="111">
        <v>487.0</v>
      </c>
      <c r="B398" s="125" t="s">
        <v>199</v>
      </c>
      <c r="C398" s="90" t="s">
        <v>274</v>
      </c>
      <c r="D398" s="125"/>
      <c r="E398" s="90" t="s">
        <v>231</v>
      </c>
      <c r="F398" s="90" t="s">
        <v>209</v>
      </c>
      <c r="G398" s="456"/>
      <c r="H398" s="125">
        <v>2014.0</v>
      </c>
      <c r="I398" s="125">
        <v>2020.0</v>
      </c>
      <c r="J398" s="427" t="s">
        <v>1521</v>
      </c>
      <c r="K398" s="186">
        <v>1.0</v>
      </c>
      <c r="M398" s="139">
        <v>2015.0</v>
      </c>
      <c r="N398" s="115" t="s">
        <v>1522</v>
      </c>
      <c r="O398" s="125" t="s">
        <v>1523</v>
      </c>
      <c r="P398" s="213"/>
      <c r="Q398" s="125"/>
      <c r="T398" s="115" t="s">
        <v>1522</v>
      </c>
      <c r="V398" s="213"/>
      <c r="W398" s="125"/>
      <c r="Z398" s="115" t="s">
        <v>1522</v>
      </c>
      <c r="AA398" s="156" t="s">
        <v>1524</v>
      </c>
    </row>
    <row r="399">
      <c r="A399" s="111">
        <v>490.0</v>
      </c>
      <c r="B399" s="125" t="s">
        <v>199</v>
      </c>
      <c r="C399" s="90" t="s">
        <v>207</v>
      </c>
      <c r="D399" s="125"/>
      <c r="E399" s="90" t="s">
        <v>231</v>
      </c>
      <c r="F399" s="90" t="s">
        <v>209</v>
      </c>
      <c r="G399" s="456"/>
      <c r="H399" s="125">
        <v>2014.0</v>
      </c>
      <c r="I399" s="125">
        <v>2015.0</v>
      </c>
      <c r="J399" s="457" t="s">
        <v>1525</v>
      </c>
      <c r="K399" s="186">
        <v>1.0</v>
      </c>
      <c r="M399" s="139">
        <v>2015.0</v>
      </c>
      <c r="N399" s="115" t="s">
        <v>1522</v>
      </c>
      <c r="O399" s="125" t="s">
        <v>1526</v>
      </c>
      <c r="P399" s="158"/>
      <c r="T399" s="115"/>
      <c r="V399" s="158">
        <v>2015.0</v>
      </c>
      <c r="W399" s="125" t="s">
        <v>1527</v>
      </c>
      <c r="Z399" s="115" t="s">
        <v>1528</v>
      </c>
      <c r="AA399" s="125" t="s">
        <v>1529</v>
      </c>
    </row>
    <row r="400">
      <c r="A400" s="111">
        <v>492.0</v>
      </c>
      <c r="B400" s="125" t="s">
        <v>199</v>
      </c>
      <c r="C400" s="62" t="s">
        <v>207</v>
      </c>
      <c r="D400" s="125"/>
      <c r="E400" s="90" t="s">
        <v>383</v>
      </c>
      <c r="F400" s="90" t="s">
        <v>209</v>
      </c>
      <c r="G400" s="456"/>
      <c r="H400" s="115">
        <v>2014.0</v>
      </c>
      <c r="I400" s="115">
        <v>2014.0</v>
      </c>
      <c r="J400" s="221" t="s">
        <v>1530</v>
      </c>
      <c r="K400" s="137"/>
      <c r="L400" s="115"/>
      <c r="M400" s="139">
        <v>2015.0</v>
      </c>
      <c r="N400" s="115" t="s">
        <v>1522</v>
      </c>
      <c r="O400" s="125" t="s">
        <v>1526</v>
      </c>
      <c r="P400" s="158"/>
      <c r="Q400" s="115"/>
      <c r="R400" s="115"/>
      <c r="S400" s="115"/>
      <c r="T400" s="115"/>
      <c r="U400" s="155"/>
      <c r="V400" s="132">
        <v>2015.0</v>
      </c>
      <c r="W400" s="115" t="s">
        <v>1530</v>
      </c>
      <c r="X400" s="115"/>
      <c r="Y400" s="115"/>
      <c r="Z400" s="115" t="s">
        <v>1531</v>
      </c>
      <c r="AA400" s="125" t="s">
        <v>1520</v>
      </c>
    </row>
    <row r="401">
      <c r="A401" s="111">
        <v>499.0</v>
      </c>
      <c r="B401" s="115" t="s">
        <v>199</v>
      </c>
      <c r="C401" s="62" t="s">
        <v>207</v>
      </c>
      <c r="D401" s="115"/>
      <c r="E401" s="62" t="s">
        <v>231</v>
      </c>
      <c r="F401" s="62" t="s">
        <v>263</v>
      </c>
      <c r="G401" s="115" t="s">
        <v>280</v>
      </c>
      <c r="H401" s="115">
        <v>2016.0</v>
      </c>
      <c r="I401" s="115">
        <v>2020.0</v>
      </c>
      <c r="J401" s="221" t="s">
        <v>1532</v>
      </c>
      <c r="K401" s="458"/>
      <c r="L401" s="459"/>
      <c r="M401" s="128">
        <v>2019.0</v>
      </c>
      <c r="N401" s="136" t="s">
        <v>1533</v>
      </c>
      <c r="O401" s="115"/>
      <c r="P401" s="132"/>
      <c r="Q401" s="459"/>
      <c r="R401" s="459"/>
      <c r="S401" s="459"/>
      <c r="T401" s="459"/>
      <c r="U401" s="155"/>
      <c r="V401" s="132">
        <v>2019.0</v>
      </c>
      <c r="W401" s="125" t="s">
        <v>1534</v>
      </c>
      <c r="X401" s="115"/>
      <c r="Y401" s="459"/>
      <c r="Z401" s="115" t="s">
        <v>1535</v>
      </c>
      <c r="AA401" s="115" t="s">
        <v>1536</v>
      </c>
    </row>
    <row r="402">
      <c r="A402" s="111">
        <v>500.0</v>
      </c>
      <c r="B402" s="115" t="s">
        <v>199</v>
      </c>
      <c r="C402" s="62" t="s">
        <v>207</v>
      </c>
      <c r="D402" s="115"/>
      <c r="E402" s="62" t="s">
        <v>231</v>
      </c>
      <c r="F402" s="62" t="s">
        <v>267</v>
      </c>
      <c r="G402" s="134"/>
      <c r="H402" s="115">
        <v>2016.0</v>
      </c>
      <c r="I402" s="115">
        <v>2020.0</v>
      </c>
      <c r="J402" s="221" t="s">
        <v>1537</v>
      </c>
      <c r="K402" s="458"/>
      <c r="L402" s="459"/>
      <c r="M402" s="128">
        <v>2019.0</v>
      </c>
      <c r="N402" s="136" t="s">
        <v>1538</v>
      </c>
      <c r="O402" s="115"/>
      <c r="P402" s="132"/>
      <c r="Q402" s="459"/>
      <c r="R402" s="459"/>
      <c r="S402" s="459"/>
      <c r="T402" s="459"/>
      <c r="U402" s="155"/>
      <c r="V402" s="132">
        <v>2019.0</v>
      </c>
      <c r="W402" s="125" t="s">
        <v>1539</v>
      </c>
      <c r="X402" s="115"/>
      <c r="Y402" s="459"/>
      <c r="Z402" s="115" t="s">
        <v>1535</v>
      </c>
      <c r="AA402" s="115" t="s">
        <v>1536</v>
      </c>
    </row>
    <row r="403">
      <c r="A403" s="111">
        <v>501.0</v>
      </c>
      <c r="B403" s="115" t="s">
        <v>199</v>
      </c>
      <c r="C403" s="62" t="s">
        <v>274</v>
      </c>
      <c r="D403" s="115"/>
      <c r="E403" s="62" t="s">
        <v>231</v>
      </c>
      <c r="F403" s="62" t="s">
        <v>244</v>
      </c>
      <c r="G403" s="134"/>
      <c r="H403" s="115">
        <v>2016.0</v>
      </c>
      <c r="I403" s="115">
        <v>2020.0</v>
      </c>
      <c r="J403" s="221" t="s">
        <v>1540</v>
      </c>
      <c r="K403" s="458"/>
      <c r="L403" s="459"/>
      <c r="M403" s="128">
        <v>2019.0</v>
      </c>
      <c r="N403" s="136" t="s">
        <v>1541</v>
      </c>
      <c r="O403" s="115"/>
      <c r="P403" s="132"/>
      <c r="Q403" s="459"/>
      <c r="R403" s="459"/>
      <c r="S403" s="459"/>
      <c r="T403" s="459"/>
      <c r="U403" s="155"/>
      <c r="V403" s="132">
        <v>2019.0</v>
      </c>
      <c r="W403" s="125" t="s">
        <v>1542</v>
      </c>
      <c r="X403" s="115"/>
      <c r="Y403" s="459"/>
      <c r="Z403" s="115" t="s">
        <v>1535</v>
      </c>
      <c r="AA403" s="115" t="s">
        <v>1536</v>
      </c>
    </row>
    <row r="404">
      <c r="A404" s="111">
        <v>502.0</v>
      </c>
      <c r="B404" s="115" t="s">
        <v>199</v>
      </c>
      <c r="C404" s="62" t="s">
        <v>274</v>
      </c>
      <c r="D404" s="115"/>
      <c r="E404" s="62" t="s">
        <v>231</v>
      </c>
      <c r="F404" s="62" t="s">
        <v>244</v>
      </c>
      <c r="G404" s="134"/>
      <c r="H404" s="115">
        <v>2016.0</v>
      </c>
      <c r="I404" s="115">
        <v>2020.0</v>
      </c>
      <c r="J404" s="427" t="s">
        <v>1543</v>
      </c>
      <c r="K404" s="458"/>
      <c r="L404" s="459"/>
      <c r="M404" s="128">
        <v>2019.0</v>
      </c>
      <c r="N404" s="136" t="s">
        <v>1544</v>
      </c>
      <c r="O404" s="115"/>
      <c r="P404" s="132"/>
      <c r="Q404" s="459"/>
      <c r="R404" s="459"/>
      <c r="S404" s="459"/>
      <c r="T404" s="459"/>
      <c r="U404" s="155"/>
      <c r="V404" s="132">
        <v>2019.0</v>
      </c>
      <c r="W404" s="186">
        <v>-0.04</v>
      </c>
      <c r="X404" s="115"/>
      <c r="Y404" s="459"/>
      <c r="Z404" s="115" t="s">
        <v>1535</v>
      </c>
      <c r="AA404" s="115" t="s">
        <v>1545</v>
      </c>
    </row>
    <row r="405">
      <c r="A405" s="111">
        <v>506.0</v>
      </c>
      <c r="B405" s="125" t="s">
        <v>199</v>
      </c>
      <c r="C405" s="90" t="s">
        <v>219</v>
      </c>
      <c r="D405" s="125" t="s">
        <v>1546</v>
      </c>
      <c r="E405" s="90" t="s">
        <v>383</v>
      </c>
      <c r="F405" s="62" t="s">
        <v>244</v>
      </c>
      <c r="G405" s="456"/>
      <c r="H405" s="125">
        <v>2018.0</v>
      </c>
      <c r="I405" s="125">
        <v>2025.0</v>
      </c>
      <c r="J405" s="427" t="s">
        <v>1547</v>
      </c>
      <c r="M405" s="139">
        <v>2017.0</v>
      </c>
      <c r="N405" s="125" t="s">
        <v>1548</v>
      </c>
      <c r="O405" s="125" t="s">
        <v>1549</v>
      </c>
      <c r="P405" s="158" t="s">
        <v>1550</v>
      </c>
      <c r="Q405" s="125" t="s">
        <v>1550</v>
      </c>
      <c r="V405" s="158">
        <v>2024.0</v>
      </c>
      <c r="W405" s="125" t="s">
        <v>1551</v>
      </c>
      <c r="Z405" s="125" t="s">
        <v>1552</v>
      </c>
      <c r="AA405" s="125" t="s">
        <v>1553</v>
      </c>
    </row>
    <row r="406">
      <c r="A406" s="111">
        <v>519.0</v>
      </c>
      <c r="B406" s="115" t="s">
        <v>199</v>
      </c>
      <c r="C406" s="62" t="s">
        <v>274</v>
      </c>
      <c r="D406" s="115" t="s">
        <v>1554</v>
      </c>
      <c r="E406" s="62" t="s">
        <v>231</v>
      </c>
      <c r="F406" s="62" t="s">
        <v>258</v>
      </c>
      <c r="G406" s="134"/>
      <c r="H406" s="115">
        <v>2018.0</v>
      </c>
      <c r="I406" s="115">
        <v>2020.0</v>
      </c>
      <c r="J406" s="221" t="s">
        <v>1555</v>
      </c>
      <c r="K406" s="458"/>
      <c r="L406" s="459"/>
      <c r="M406" s="128">
        <v>2019.0</v>
      </c>
      <c r="N406" s="124" t="s">
        <v>1556</v>
      </c>
      <c r="O406" s="115"/>
      <c r="P406" s="132"/>
      <c r="Q406" s="459"/>
      <c r="R406" s="459"/>
      <c r="S406" s="459"/>
      <c r="T406" s="459"/>
      <c r="U406" s="155"/>
      <c r="V406" s="132"/>
      <c r="W406" s="137"/>
      <c r="X406" s="115"/>
      <c r="Y406" s="459"/>
      <c r="Z406" s="115"/>
      <c r="AA406" s="115" t="s">
        <v>1557</v>
      </c>
    </row>
    <row r="407">
      <c r="A407" s="111">
        <v>520.0</v>
      </c>
      <c r="B407" s="115" t="s">
        <v>199</v>
      </c>
      <c r="C407" s="62" t="s">
        <v>207</v>
      </c>
      <c r="D407" s="115"/>
      <c r="E407" s="62" t="s">
        <v>231</v>
      </c>
      <c r="F407" s="62" t="s">
        <v>258</v>
      </c>
      <c r="G407" s="134"/>
      <c r="H407" s="115">
        <v>2018.0</v>
      </c>
      <c r="I407" s="115">
        <v>2019.0</v>
      </c>
      <c r="J407" s="221" t="s">
        <v>1558</v>
      </c>
      <c r="K407" s="458"/>
      <c r="L407" s="459"/>
      <c r="M407" s="128">
        <v>2019.0</v>
      </c>
      <c r="N407" s="124" t="s">
        <v>1556</v>
      </c>
      <c r="O407" s="115"/>
      <c r="P407" s="132"/>
      <c r="Q407" s="459"/>
      <c r="R407" s="459"/>
      <c r="S407" s="459"/>
      <c r="T407" s="459"/>
      <c r="U407" s="155"/>
      <c r="V407" s="132">
        <v>2019.0</v>
      </c>
      <c r="W407" s="115" t="s">
        <v>1559</v>
      </c>
      <c r="X407" s="115"/>
      <c r="Y407" s="459"/>
      <c r="Z407" s="115" t="s">
        <v>1556</v>
      </c>
      <c r="AA407" s="115"/>
    </row>
    <row r="408">
      <c r="A408" s="111">
        <v>521.0</v>
      </c>
      <c r="B408" s="115" t="s">
        <v>199</v>
      </c>
      <c r="C408" s="62" t="s">
        <v>207</v>
      </c>
      <c r="D408" s="115"/>
      <c r="E408" s="62" t="s">
        <v>231</v>
      </c>
      <c r="F408" s="90" t="s">
        <v>220</v>
      </c>
      <c r="G408" s="115" t="s">
        <v>251</v>
      </c>
      <c r="H408" s="115">
        <v>2018.0</v>
      </c>
      <c r="I408" s="115">
        <v>2022.0</v>
      </c>
      <c r="J408" s="221" t="s">
        <v>1560</v>
      </c>
      <c r="K408" s="458"/>
      <c r="L408" s="459"/>
      <c r="M408" s="128">
        <v>2020.0</v>
      </c>
      <c r="N408" s="124" t="s">
        <v>1535</v>
      </c>
      <c r="O408" s="115"/>
      <c r="P408" s="132"/>
      <c r="Q408" s="459"/>
      <c r="R408" s="459"/>
      <c r="S408" s="459"/>
      <c r="T408" s="459"/>
      <c r="U408" s="155"/>
      <c r="V408" s="132"/>
      <c r="W408" s="115" t="s">
        <v>1561</v>
      </c>
      <c r="X408" s="115"/>
      <c r="Y408" s="459"/>
      <c r="Z408" s="115" t="s">
        <v>1562</v>
      </c>
      <c r="AA408" s="115" t="s">
        <v>642</v>
      </c>
    </row>
    <row r="409">
      <c r="A409" s="111">
        <v>523.0</v>
      </c>
      <c r="B409" s="115" t="s">
        <v>199</v>
      </c>
      <c r="C409" s="62" t="s">
        <v>343</v>
      </c>
      <c r="D409" s="115"/>
      <c r="E409" s="62" t="s">
        <v>231</v>
      </c>
      <c r="F409" s="62" t="s">
        <v>263</v>
      </c>
      <c r="G409" s="115" t="s">
        <v>280</v>
      </c>
      <c r="H409" s="115">
        <v>2020.0</v>
      </c>
      <c r="I409" s="115">
        <v>2030.0</v>
      </c>
      <c r="J409" s="221" t="s">
        <v>1563</v>
      </c>
      <c r="K409" s="458"/>
      <c r="L409" s="459"/>
      <c r="M409" s="128">
        <v>2020.0</v>
      </c>
      <c r="N409" s="124" t="s">
        <v>1535</v>
      </c>
      <c r="O409" s="115" t="s">
        <v>1564</v>
      </c>
      <c r="P409" s="132" t="s">
        <v>1565</v>
      </c>
      <c r="Q409" s="459"/>
      <c r="R409" s="459"/>
      <c r="S409" s="459"/>
      <c r="T409" s="459"/>
      <c r="U409" s="155"/>
      <c r="V409" s="132"/>
      <c r="W409" s="115"/>
      <c r="X409" s="115"/>
      <c r="Y409" s="459"/>
      <c r="Z409" s="115"/>
      <c r="AA409" s="115"/>
    </row>
    <row r="410">
      <c r="A410" s="111">
        <v>525.0</v>
      </c>
      <c r="B410" s="115" t="s">
        <v>199</v>
      </c>
      <c r="C410" s="62" t="s">
        <v>343</v>
      </c>
      <c r="D410" s="115"/>
      <c r="E410" s="62" t="s">
        <v>383</v>
      </c>
      <c r="F410" s="62" t="s">
        <v>461</v>
      </c>
      <c r="G410" s="134"/>
      <c r="H410" s="115">
        <v>2021.0</v>
      </c>
      <c r="I410" s="115">
        <v>2027.0</v>
      </c>
      <c r="J410" s="427" t="s">
        <v>1566</v>
      </c>
      <c r="K410" s="458"/>
      <c r="L410" s="459"/>
      <c r="M410" s="128">
        <v>2022.0</v>
      </c>
      <c r="N410" s="124" t="s">
        <v>1567</v>
      </c>
      <c r="O410" s="115" t="s">
        <v>1568</v>
      </c>
      <c r="P410" s="132"/>
      <c r="Q410" s="459"/>
      <c r="R410" s="459"/>
      <c r="S410" s="459"/>
      <c r="T410" s="459"/>
      <c r="U410" s="155"/>
      <c r="V410" s="132">
        <v>2024.0</v>
      </c>
      <c r="W410" s="115" t="s">
        <v>1569</v>
      </c>
      <c r="X410" s="115"/>
      <c r="Y410" s="459"/>
      <c r="Z410" s="115" t="s">
        <v>1570</v>
      </c>
      <c r="AA410" s="125" t="s">
        <v>1571</v>
      </c>
    </row>
    <row r="411">
      <c r="A411" s="111">
        <v>526.0</v>
      </c>
      <c r="B411" s="115" t="s">
        <v>199</v>
      </c>
      <c r="C411" s="62" t="s">
        <v>343</v>
      </c>
      <c r="D411" s="115"/>
      <c r="E411" s="62" t="s">
        <v>383</v>
      </c>
      <c r="F411" s="62" t="s">
        <v>461</v>
      </c>
      <c r="G411" s="134"/>
      <c r="H411" s="115">
        <v>2021.0</v>
      </c>
      <c r="I411" s="115">
        <v>2030.0</v>
      </c>
      <c r="J411" s="427" t="s">
        <v>1572</v>
      </c>
      <c r="K411" s="458"/>
      <c r="L411" s="459"/>
      <c r="M411" s="128">
        <v>2021.0</v>
      </c>
      <c r="N411" s="124" t="s">
        <v>1573</v>
      </c>
      <c r="O411" s="115" t="s">
        <v>1574</v>
      </c>
      <c r="P411" s="132"/>
      <c r="Q411" s="459"/>
      <c r="R411" s="459"/>
      <c r="S411" s="459"/>
      <c r="T411" s="459"/>
      <c r="U411" s="155"/>
      <c r="V411" s="132">
        <v>2024.0</v>
      </c>
      <c r="W411" s="137">
        <v>0.66</v>
      </c>
      <c r="X411" s="115"/>
      <c r="Y411" s="459"/>
      <c r="Z411" s="115" t="s">
        <v>1552</v>
      </c>
      <c r="AA411" s="115" t="s">
        <v>1575</v>
      </c>
    </row>
    <row r="412">
      <c r="A412" s="111">
        <v>527.0</v>
      </c>
      <c r="B412" s="115" t="s">
        <v>199</v>
      </c>
      <c r="C412" s="62" t="s">
        <v>343</v>
      </c>
      <c r="D412" s="115"/>
      <c r="E412" s="62" t="s">
        <v>208</v>
      </c>
      <c r="F412" s="62" t="s">
        <v>263</v>
      </c>
      <c r="G412" s="115" t="s">
        <v>280</v>
      </c>
      <c r="H412" s="115">
        <v>2021.0</v>
      </c>
      <c r="I412" s="115">
        <v>2030.0</v>
      </c>
      <c r="J412" s="427" t="s">
        <v>1576</v>
      </c>
      <c r="K412" s="458"/>
      <c r="L412" s="459"/>
      <c r="M412" s="128">
        <v>2022.0</v>
      </c>
      <c r="N412" s="124" t="s">
        <v>1577</v>
      </c>
      <c r="O412" s="115" t="s">
        <v>1578</v>
      </c>
      <c r="P412" s="158" t="s">
        <v>1579</v>
      </c>
      <c r="Q412" s="125" t="s">
        <v>1580</v>
      </c>
      <c r="R412" s="125" t="s">
        <v>1580</v>
      </c>
      <c r="S412" s="459"/>
      <c r="T412" s="115" t="s">
        <v>1581</v>
      </c>
      <c r="U412" s="115" t="s">
        <v>1582</v>
      </c>
      <c r="V412" s="132">
        <v>2024.0</v>
      </c>
      <c r="W412" s="115" t="s">
        <v>1583</v>
      </c>
      <c r="X412" s="115"/>
      <c r="Y412" s="459"/>
      <c r="Z412" s="115" t="s">
        <v>1552</v>
      </c>
      <c r="AA412" s="115" t="s">
        <v>1584</v>
      </c>
    </row>
    <row r="413">
      <c r="A413" s="111">
        <v>529.0</v>
      </c>
      <c r="B413" s="115" t="s">
        <v>199</v>
      </c>
      <c r="C413" s="62" t="s">
        <v>343</v>
      </c>
      <c r="D413" s="115"/>
      <c r="E413" s="62" t="s">
        <v>231</v>
      </c>
      <c r="F413" s="62" t="s">
        <v>244</v>
      </c>
      <c r="G413" s="134"/>
      <c r="H413" s="115">
        <v>2022.0</v>
      </c>
      <c r="I413" s="115">
        <v>2027.0</v>
      </c>
      <c r="J413" s="221" t="s">
        <v>1585</v>
      </c>
      <c r="K413" s="458"/>
      <c r="L413" s="459"/>
      <c r="M413" s="128">
        <v>2020.0</v>
      </c>
      <c r="N413" s="124" t="s">
        <v>1586</v>
      </c>
      <c r="O413" s="115"/>
      <c r="P413" s="158" t="s">
        <v>1587</v>
      </c>
      <c r="Q413" s="125" t="s">
        <v>1588</v>
      </c>
      <c r="R413" s="459"/>
      <c r="S413" s="459"/>
      <c r="T413" s="459"/>
      <c r="U413" s="125" t="s">
        <v>1588</v>
      </c>
      <c r="V413" s="132"/>
      <c r="W413" s="115"/>
      <c r="X413" s="115"/>
      <c r="Y413" s="459"/>
      <c r="Z413" s="115" t="s">
        <v>1535</v>
      </c>
      <c r="AA413" s="115" t="s">
        <v>1589</v>
      </c>
    </row>
    <row r="414">
      <c r="A414" s="111">
        <v>530.0</v>
      </c>
      <c r="B414" s="115" t="s">
        <v>199</v>
      </c>
      <c r="C414" s="62" t="s">
        <v>207</v>
      </c>
      <c r="D414" s="115"/>
      <c r="E414" s="62" t="s">
        <v>231</v>
      </c>
      <c r="F414" s="90" t="s">
        <v>220</v>
      </c>
      <c r="G414" s="115" t="s">
        <v>251</v>
      </c>
      <c r="H414" s="115">
        <v>2022.0</v>
      </c>
      <c r="I414" s="115">
        <v>2023.0</v>
      </c>
      <c r="J414" s="221" t="s">
        <v>1590</v>
      </c>
      <c r="K414" s="458"/>
      <c r="L414" s="459"/>
      <c r="M414" s="128">
        <v>2022.0</v>
      </c>
      <c r="N414" s="124" t="s">
        <v>1581</v>
      </c>
      <c r="O414" s="115"/>
      <c r="P414" s="132"/>
      <c r="Q414" s="459"/>
      <c r="R414" s="459"/>
      <c r="S414" s="459"/>
      <c r="T414" s="459"/>
      <c r="U414" s="155"/>
      <c r="V414" s="132"/>
      <c r="W414" s="115" t="s">
        <v>1591</v>
      </c>
      <c r="X414" s="115"/>
      <c r="Y414" s="459"/>
      <c r="Z414" s="115" t="s">
        <v>1562</v>
      </c>
      <c r="AA414" s="115" t="s">
        <v>1592</v>
      </c>
    </row>
    <row r="415">
      <c r="A415" s="111">
        <v>544.0</v>
      </c>
      <c r="B415" s="115" t="s">
        <v>1593</v>
      </c>
      <c r="C415" s="62" t="s">
        <v>207</v>
      </c>
      <c r="D415" s="115"/>
      <c r="E415" s="62" t="s">
        <v>231</v>
      </c>
      <c r="F415" s="62" t="s">
        <v>209</v>
      </c>
      <c r="G415" s="115" t="s">
        <v>221</v>
      </c>
      <c r="H415" s="115">
        <v>2000.0</v>
      </c>
      <c r="I415" s="115">
        <v>2003.0</v>
      </c>
      <c r="J415" s="221" t="s">
        <v>1594</v>
      </c>
      <c r="K415" s="137">
        <v>0.0</v>
      </c>
      <c r="L415" s="115" t="s">
        <v>693</v>
      </c>
      <c r="M415" s="139">
        <v>2000.0</v>
      </c>
      <c r="N415" s="115" t="s">
        <v>1595</v>
      </c>
      <c r="O415" s="155"/>
      <c r="P415" s="132">
        <v>2000.0</v>
      </c>
      <c r="Q415" s="115" t="s">
        <v>1596</v>
      </c>
      <c r="R415" s="155"/>
      <c r="S415" s="155"/>
      <c r="T415" s="115" t="s">
        <v>1595</v>
      </c>
      <c r="U415" s="115" t="s">
        <v>1597</v>
      </c>
      <c r="V415" s="132">
        <v>2004.0</v>
      </c>
      <c r="W415" s="125" t="s">
        <v>1598</v>
      </c>
      <c r="X415" s="115">
        <v>100.0</v>
      </c>
      <c r="Y415" s="115" t="s">
        <v>1599</v>
      </c>
      <c r="Z415" s="115" t="s">
        <v>1600</v>
      </c>
      <c r="AA415" s="155"/>
    </row>
    <row r="416">
      <c r="A416" s="111">
        <v>562.0</v>
      </c>
      <c r="B416" s="115" t="s">
        <v>1593</v>
      </c>
      <c r="C416" s="62" t="s">
        <v>274</v>
      </c>
      <c r="D416" s="115" t="s">
        <v>1601</v>
      </c>
      <c r="E416" s="62" t="s">
        <v>383</v>
      </c>
      <c r="F416" s="62" t="s">
        <v>220</v>
      </c>
      <c r="G416" s="134"/>
      <c r="H416" s="115">
        <v>2010.0</v>
      </c>
      <c r="I416" s="174">
        <v>2015.0</v>
      </c>
      <c r="J416" s="327" t="s">
        <v>1602</v>
      </c>
      <c r="K416" s="137">
        <v>0.5</v>
      </c>
      <c r="L416" s="115" t="s">
        <v>693</v>
      </c>
      <c r="M416" s="139">
        <v>2010.0</v>
      </c>
      <c r="N416" s="115" t="s">
        <v>1603</v>
      </c>
      <c r="O416" s="115" t="s">
        <v>1604</v>
      </c>
      <c r="P416" s="132">
        <v>2010.0</v>
      </c>
      <c r="Q416" s="115"/>
      <c r="R416" s="115">
        <v>5.0</v>
      </c>
      <c r="S416" s="115" t="s">
        <v>693</v>
      </c>
      <c r="T416" s="115" t="s">
        <v>1605</v>
      </c>
      <c r="U416" s="155"/>
      <c r="V416" s="132">
        <v>2024.0</v>
      </c>
      <c r="W416" s="115" t="s">
        <v>1606</v>
      </c>
      <c r="X416" s="125">
        <v>90.0</v>
      </c>
      <c r="Y416" s="115" t="s">
        <v>693</v>
      </c>
      <c r="Z416" s="115" t="s">
        <v>1607</v>
      </c>
      <c r="AA416" s="115" t="s">
        <v>1608</v>
      </c>
    </row>
    <row r="417">
      <c r="A417" s="111">
        <v>563.0</v>
      </c>
      <c r="B417" s="115" t="s">
        <v>1593</v>
      </c>
      <c r="C417" s="62" t="s">
        <v>274</v>
      </c>
      <c r="D417" s="115"/>
      <c r="E417" s="62" t="s">
        <v>383</v>
      </c>
      <c r="F417" s="62" t="s">
        <v>220</v>
      </c>
      <c r="G417" s="134"/>
      <c r="H417" s="115">
        <v>2010.0</v>
      </c>
      <c r="I417" s="115">
        <v>2015.0</v>
      </c>
      <c r="J417" s="221" t="s">
        <v>1609</v>
      </c>
      <c r="K417" s="137">
        <v>1.0</v>
      </c>
      <c r="L417" s="115" t="s">
        <v>693</v>
      </c>
      <c r="M417" s="139">
        <v>2010.0</v>
      </c>
      <c r="N417" s="115" t="s">
        <v>1603</v>
      </c>
      <c r="O417" s="115" t="s">
        <v>1160</v>
      </c>
      <c r="P417" s="132">
        <v>2010.0</v>
      </c>
      <c r="Q417" s="115"/>
      <c r="R417" s="115"/>
      <c r="S417" s="115"/>
      <c r="T417" s="115"/>
      <c r="U417" s="155"/>
      <c r="V417" s="132">
        <v>2013.0</v>
      </c>
      <c r="W417" s="115" t="s">
        <v>1610</v>
      </c>
      <c r="X417" s="115" t="s">
        <v>693</v>
      </c>
      <c r="Y417" s="115"/>
      <c r="Z417" s="115" t="s">
        <v>1611</v>
      </c>
      <c r="AA417" s="115" t="s">
        <v>1612</v>
      </c>
    </row>
    <row r="418">
      <c r="A418" s="111">
        <v>564.0</v>
      </c>
      <c r="B418" s="115" t="s">
        <v>1593</v>
      </c>
      <c r="C418" s="62" t="s">
        <v>219</v>
      </c>
      <c r="D418" s="115"/>
      <c r="E418" s="62" t="s">
        <v>231</v>
      </c>
      <c r="F418" s="62" t="s">
        <v>263</v>
      </c>
      <c r="G418" s="115"/>
      <c r="H418" s="115">
        <v>2010.0</v>
      </c>
      <c r="I418" s="115">
        <v>2015.0</v>
      </c>
      <c r="J418" s="221" t="s">
        <v>1613</v>
      </c>
      <c r="K418" s="115">
        <v>-25.0</v>
      </c>
      <c r="L418" s="115" t="s">
        <v>693</v>
      </c>
      <c r="M418" s="139">
        <v>2010.0</v>
      </c>
      <c r="N418" s="115" t="s">
        <v>1603</v>
      </c>
      <c r="O418" s="115" t="s">
        <v>1614</v>
      </c>
      <c r="P418" s="132">
        <v>2010.0</v>
      </c>
      <c r="Q418" s="115"/>
      <c r="R418" s="115"/>
      <c r="S418" s="115"/>
      <c r="T418" s="115"/>
      <c r="U418" s="155"/>
      <c r="V418" s="132">
        <v>2015.0</v>
      </c>
      <c r="W418" s="115" t="s">
        <v>1615</v>
      </c>
      <c r="X418" s="115"/>
      <c r="Y418" s="115"/>
      <c r="Z418" s="115" t="s">
        <v>1611</v>
      </c>
      <c r="AA418" s="115" t="s">
        <v>1616</v>
      </c>
    </row>
    <row r="419">
      <c r="A419" s="111">
        <v>565.0</v>
      </c>
      <c r="B419" s="115" t="s">
        <v>1593</v>
      </c>
      <c r="C419" s="62" t="s">
        <v>219</v>
      </c>
      <c r="D419" s="115"/>
      <c r="E419" s="62" t="s">
        <v>231</v>
      </c>
      <c r="F419" s="62" t="s">
        <v>244</v>
      </c>
      <c r="G419" s="134"/>
      <c r="H419" s="115">
        <v>2010.0</v>
      </c>
      <c r="I419" s="115">
        <v>2015.0</v>
      </c>
      <c r="J419" s="221" t="s">
        <v>1617</v>
      </c>
      <c r="K419" s="115">
        <v>-25.0</v>
      </c>
      <c r="L419" s="115" t="s">
        <v>693</v>
      </c>
      <c r="M419" s="139">
        <v>2007.0</v>
      </c>
      <c r="N419" s="115" t="s">
        <v>1618</v>
      </c>
      <c r="O419" s="115" t="s">
        <v>1614</v>
      </c>
      <c r="P419" s="132">
        <v>2010.0</v>
      </c>
      <c r="Q419" s="115"/>
      <c r="R419" s="115"/>
      <c r="S419" s="115"/>
      <c r="T419" s="115"/>
      <c r="U419" s="155"/>
      <c r="V419" s="132">
        <v>2015.0</v>
      </c>
      <c r="W419" s="115" t="s">
        <v>1619</v>
      </c>
      <c r="X419" s="125">
        <v>-10.0</v>
      </c>
      <c r="Y419" s="115" t="s">
        <v>1620</v>
      </c>
      <c r="Z419" s="115" t="s">
        <v>1611</v>
      </c>
      <c r="AA419" s="115" t="s">
        <v>1621</v>
      </c>
    </row>
    <row r="420">
      <c r="A420" s="111">
        <v>566.0</v>
      </c>
      <c r="B420" s="115" t="s">
        <v>1593</v>
      </c>
      <c r="C420" s="62" t="s">
        <v>219</v>
      </c>
      <c r="D420" s="115"/>
      <c r="E420" s="62" t="s">
        <v>231</v>
      </c>
      <c r="F420" s="62" t="s">
        <v>258</v>
      </c>
      <c r="G420" s="134"/>
      <c r="H420" s="115">
        <v>2010.0</v>
      </c>
      <c r="I420" s="115">
        <v>2015.0</v>
      </c>
      <c r="J420" s="221" t="s">
        <v>1622</v>
      </c>
      <c r="K420" s="115">
        <v>-25.0</v>
      </c>
      <c r="L420" s="115" t="s">
        <v>1623</v>
      </c>
      <c r="M420" s="139">
        <v>2010.0</v>
      </c>
      <c r="N420" s="115" t="s">
        <v>1603</v>
      </c>
      <c r="O420" s="115" t="s">
        <v>1624</v>
      </c>
      <c r="P420" s="132">
        <v>2010.0</v>
      </c>
      <c r="Q420" s="115"/>
      <c r="R420" s="115"/>
      <c r="S420" s="115"/>
      <c r="T420" s="115"/>
      <c r="U420" s="155"/>
      <c r="V420" s="132">
        <v>2015.0</v>
      </c>
      <c r="W420" s="115" t="s">
        <v>1625</v>
      </c>
      <c r="X420" s="115">
        <v>6.0</v>
      </c>
      <c r="Y420" s="115" t="s">
        <v>1623</v>
      </c>
      <c r="Z420" s="115" t="s">
        <v>1626</v>
      </c>
      <c r="AA420" s="115" t="s">
        <v>1067</v>
      </c>
    </row>
    <row r="421">
      <c r="A421" s="111">
        <v>567.0</v>
      </c>
      <c r="B421" s="115" t="s">
        <v>1593</v>
      </c>
      <c r="C421" s="62" t="s">
        <v>219</v>
      </c>
      <c r="D421" s="115"/>
      <c r="E421" s="62" t="s">
        <v>231</v>
      </c>
      <c r="F421" s="62" t="s">
        <v>267</v>
      </c>
      <c r="G421" s="134"/>
      <c r="H421" s="115">
        <v>2010.0</v>
      </c>
      <c r="I421" s="115">
        <v>2015.0</v>
      </c>
      <c r="J421" s="221" t="s">
        <v>1627</v>
      </c>
      <c r="K421" s="115">
        <v>-25.0</v>
      </c>
      <c r="L421" s="115" t="s">
        <v>693</v>
      </c>
      <c r="M421" s="139">
        <v>2007.0</v>
      </c>
      <c r="N421" s="115" t="s">
        <v>1618</v>
      </c>
      <c r="O421" s="115" t="s">
        <v>1614</v>
      </c>
      <c r="P421" s="132">
        <v>2010.0</v>
      </c>
      <c r="Q421" s="115"/>
      <c r="R421" s="115"/>
      <c r="S421" s="115"/>
      <c r="T421" s="115"/>
      <c r="U421" s="155"/>
      <c r="V421" s="132">
        <v>2015.0</v>
      </c>
      <c r="W421" s="125" t="s">
        <v>1628</v>
      </c>
      <c r="X421" s="115">
        <v>-22.0</v>
      </c>
      <c r="Y421" s="115" t="s">
        <v>1629</v>
      </c>
      <c r="Z421" s="115" t="s">
        <v>1626</v>
      </c>
      <c r="AA421" s="115" t="s">
        <v>1616</v>
      </c>
    </row>
    <row r="422">
      <c r="A422" s="111">
        <v>569.0</v>
      </c>
      <c r="B422" s="115" t="s">
        <v>1593</v>
      </c>
      <c r="C422" s="62" t="s">
        <v>219</v>
      </c>
      <c r="D422" s="115"/>
      <c r="E422" s="62" t="s">
        <v>231</v>
      </c>
      <c r="F422" s="62" t="s">
        <v>244</v>
      </c>
      <c r="G422" s="134"/>
      <c r="H422" s="115">
        <v>2010.0</v>
      </c>
      <c r="I422" s="115">
        <v>2015.0</v>
      </c>
      <c r="J422" s="221" t="s">
        <v>1630</v>
      </c>
      <c r="K422" s="115">
        <v>-75.0</v>
      </c>
      <c r="L422" s="115" t="s">
        <v>1631</v>
      </c>
      <c r="M422" s="139">
        <v>2007.0</v>
      </c>
      <c r="N422" s="115" t="s">
        <v>1618</v>
      </c>
      <c r="O422" s="115" t="s">
        <v>1632</v>
      </c>
      <c r="P422" s="132">
        <v>2010.0</v>
      </c>
      <c r="Q422" s="115"/>
      <c r="R422" s="115"/>
      <c r="S422" s="115"/>
      <c r="T422" s="115"/>
      <c r="U422" s="155"/>
      <c r="V422" s="132">
        <v>2015.0</v>
      </c>
      <c r="W422" s="125" t="s">
        <v>1633</v>
      </c>
      <c r="X422" s="115">
        <v>-44.0</v>
      </c>
      <c r="Y422" s="115" t="s">
        <v>1634</v>
      </c>
      <c r="Z422" s="115" t="s">
        <v>1626</v>
      </c>
      <c r="AA422" s="115" t="s">
        <v>1635</v>
      </c>
    </row>
    <row r="423">
      <c r="A423" s="111">
        <v>571.0</v>
      </c>
      <c r="B423" s="115" t="s">
        <v>1593</v>
      </c>
      <c r="C423" s="62" t="s">
        <v>219</v>
      </c>
      <c r="D423" s="115"/>
      <c r="E423" s="62" t="s">
        <v>208</v>
      </c>
      <c r="F423" s="90" t="s">
        <v>209</v>
      </c>
      <c r="G423" s="134"/>
      <c r="H423" s="115">
        <v>2014.0</v>
      </c>
      <c r="I423" s="115">
        <v>2017.0</v>
      </c>
      <c r="J423" s="221" t="s">
        <v>1636</v>
      </c>
      <c r="K423" s="115"/>
      <c r="L423" s="115"/>
      <c r="M423" s="139">
        <v>2014.0</v>
      </c>
      <c r="N423" s="115" t="s">
        <v>1637</v>
      </c>
      <c r="O423" s="115"/>
      <c r="P423" s="132"/>
      <c r="Q423" s="460"/>
      <c r="R423" s="115"/>
      <c r="S423" s="115"/>
      <c r="T423" s="115" t="s">
        <v>1637</v>
      </c>
      <c r="U423" s="155"/>
      <c r="V423" s="132">
        <v>2017.0</v>
      </c>
      <c r="W423" s="115"/>
      <c r="X423" s="115">
        <v>1.0</v>
      </c>
      <c r="Y423" s="115" t="s">
        <v>693</v>
      </c>
      <c r="Z423" s="115" t="s">
        <v>1638</v>
      </c>
      <c r="AA423" s="115" t="s">
        <v>1639</v>
      </c>
    </row>
    <row r="424">
      <c r="A424" s="111">
        <v>573.0</v>
      </c>
      <c r="B424" s="115" t="s">
        <v>1593</v>
      </c>
      <c r="C424" s="62" t="s">
        <v>274</v>
      </c>
      <c r="D424" s="115" t="s">
        <v>1640</v>
      </c>
      <c r="E424" s="62" t="s">
        <v>231</v>
      </c>
      <c r="F424" s="90" t="s">
        <v>209</v>
      </c>
      <c r="G424" s="134"/>
      <c r="H424" s="115">
        <v>2015.0</v>
      </c>
      <c r="I424" s="115">
        <v>2020.0</v>
      </c>
      <c r="J424" s="221" t="s">
        <v>1641</v>
      </c>
      <c r="K424" s="137">
        <v>0.0</v>
      </c>
      <c r="L424" s="115"/>
      <c r="M424" s="139">
        <v>2015.0</v>
      </c>
      <c r="N424" s="115" t="s">
        <v>1626</v>
      </c>
      <c r="O424" s="115"/>
      <c r="P424" s="132"/>
      <c r="Q424" s="115"/>
      <c r="R424" s="115"/>
      <c r="S424" s="115"/>
      <c r="T424" s="115"/>
      <c r="U424" s="155"/>
      <c r="V424" s="132"/>
      <c r="W424" s="115"/>
      <c r="X424" s="115"/>
      <c r="Y424" s="115"/>
      <c r="Z424" s="115"/>
      <c r="AA424" s="115" t="s">
        <v>1642</v>
      </c>
    </row>
    <row r="425">
      <c r="A425" s="111">
        <v>574.0</v>
      </c>
      <c r="B425" s="115" t="s">
        <v>1593</v>
      </c>
      <c r="C425" s="62" t="s">
        <v>207</v>
      </c>
      <c r="D425" s="115"/>
      <c r="E425" s="62" t="s">
        <v>231</v>
      </c>
      <c r="F425" s="62" t="s">
        <v>267</v>
      </c>
      <c r="G425" s="134"/>
      <c r="H425" s="115">
        <v>2015.0</v>
      </c>
      <c r="I425" s="115">
        <v>2020.0</v>
      </c>
      <c r="J425" s="221" t="s">
        <v>1643</v>
      </c>
      <c r="K425" s="137"/>
      <c r="L425" s="115"/>
      <c r="M425" s="139">
        <v>2015.0</v>
      </c>
      <c r="N425" s="115" t="s">
        <v>1626</v>
      </c>
      <c r="O425" s="115"/>
      <c r="P425" s="132"/>
      <c r="Q425" s="115"/>
      <c r="R425" s="115"/>
      <c r="S425" s="115"/>
      <c r="T425" s="115"/>
      <c r="U425" s="155"/>
      <c r="V425" s="132">
        <v>2020.0</v>
      </c>
      <c r="W425" s="115"/>
      <c r="X425" s="115"/>
      <c r="Y425" s="115"/>
      <c r="Z425" s="115" t="s">
        <v>1644</v>
      </c>
      <c r="AA425" s="115" t="s">
        <v>1645</v>
      </c>
    </row>
    <row r="426">
      <c r="A426" s="111">
        <v>578.0</v>
      </c>
      <c r="B426" s="115" t="s">
        <v>1593</v>
      </c>
      <c r="C426" s="62" t="s">
        <v>207</v>
      </c>
      <c r="D426" s="115"/>
      <c r="E426" s="62" t="s">
        <v>231</v>
      </c>
      <c r="F426" s="62" t="s">
        <v>263</v>
      </c>
      <c r="G426" s="115" t="s">
        <v>264</v>
      </c>
      <c r="H426" s="115">
        <v>2016.0</v>
      </c>
      <c r="I426" s="115">
        <v>2017.0</v>
      </c>
      <c r="J426" s="221" t="s">
        <v>1646</v>
      </c>
      <c r="K426" s="137">
        <v>-0.03</v>
      </c>
      <c r="L426" s="115" t="s">
        <v>1647</v>
      </c>
      <c r="M426" s="139">
        <v>2016.0</v>
      </c>
      <c r="N426" s="115" t="s">
        <v>1648</v>
      </c>
      <c r="O426" s="115"/>
      <c r="P426" s="132"/>
      <c r="Q426" s="115"/>
      <c r="R426" s="115"/>
      <c r="S426" s="115"/>
      <c r="T426" s="115"/>
      <c r="U426" s="155"/>
      <c r="V426" s="132">
        <v>2016.0</v>
      </c>
      <c r="W426" s="115" t="s">
        <v>1649</v>
      </c>
      <c r="X426" s="137">
        <v>-0.05</v>
      </c>
      <c r="Y426" s="115" t="s">
        <v>1647</v>
      </c>
      <c r="Z426" s="115" t="s">
        <v>1650</v>
      </c>
      <c r="AA426" s="115" t="s">
        <v>1651</v>
      </c>
    </row>
    <row r="427">
      <c r="A427" s="111">
        <v>581.0</v>
      </c>
      <c r="B427" s="115" t="s">
        <v>1593</v>
      </c>
      <c r="C427" s="62" t="s">
        <v>207</v>
      </c>
      <c r="D427" s="115"/>
      <c r="E427" s="62" t="s">
        <v>208</v>
      </c>
      <c r="F427" s="90" t="s">
        <v>209</v>
      </c>
      <c r="G427" s="134"/>
      <c r="H427" s="115">
        <v>2017.0</v>
      </c>
      <c r="I427" s="115">
        <v>2020.0</v>
      </c>
      <c r="J427" s="221" t="s">
        <v>1652</v>
      </c>
      <c r="K427" s="137">
        <v>0.03</v>
      </c>
      <c r="L427" s="115" t="s">
        <v>693</v>
      </c>
      <c r="M427" s="139">
        <v>2017.0</v>
      </c>
      <c r="N427" s="115" t="s">
        <v>1638</v>
      </c>
      <c r="O427" s="115" t="s">
        <v>1653</v>
      </c>
      <c r="P427" s="132">
        <v>2016.0</v>
      </c>
      <c r="Q427" s="115" t="s">
        <v>1654</v>
      </c>
      <c r="R427" s="115" t="s">
        <v>1655</v>
      </c>
      <c r="S427" s="115" t="s">
        <v>1656</v>
      </c>
      <c r="T427" s="115" t="s">
        <v>1626</v>
      </c>
      <c r="U427" s="115" t="s">
        <v>1657</v>
      </c>
      <c r="V427" s="132">
        <v>2020.0</v>
      </c>
      <c r="W427" s="115"/>
      <c r="X427" s="132">
        <v>1.2</v>
      </c>
      <c r="Y427" s="115" t="s">
        <v>1658</v>
      </c>
      <c r="Z427" s="115" t="s">
        <v>1644</v>
      </c>
      <c r="AA427" s="115" t="s">
        <v>1659</v>
      </c>
    </row>
    <row r="428">
      <c r="A428" s="111">
        <v>582.0</v>
      </c>
      <c r="B428" s="115" t="s">
        <v>1593</v>
      </c>
      <c r="C428" s="62" t="s">
        <v>219</v>
      </c>
      <c r="D428" s="115"/>
      <c r="E428" s="62" t="s">
        <v>383</v>
      </c>
      <c r="F428" s="62" t="s">
        <v>209</v>
      </c>
      <c r="G428" s="134"/>
      <c r="H428" s="115">
        <v>2017.0</v>
      </c>
      <c r="I428" s="115">
        <v>2020.0</v>
      </c>
      <c r="J428" s="221" t="s">
        <v>1660</v>
      </c>
      <c r="K428" s="115"/>
      <c r="L428" s="115"/>
      <c r="M428" s="139">
        <v>2017.0</v>
      </c>
      <c r="N428" s="115" t="s">
        <v>1638</v>
      </c>
      <c r="O428" s="115" t="s">
        <v>1661</v>
      </c>
      <c r="P428" s="132"/>
      <c r="Q428" s="132"/>
      <c r="R428" s="115"/>
      <c r="S428" s="115"/>
      <c r="T428" s="115"/>
      <c r="U428" s="115"/>
      <c r="V428" s="132">
        <v>2020.0</v>
      </c>
      <c r="W428" s="115"/>
      <c r="X428" s="115"/>
      <c r="Y428" s="115"/>
      <c r="Z428" s="115" t="s">
        <v>1638</v>
      </c>
      <c r="AA428" s="115" t="s">
        <v>1662</v>
      </c>
    </row>
    <row r="429">
      <c r="A429" s="111">
        <v>584.0</v>
      </c>
      <c r="B429" s="115" t="s">
        <v>1593</v>
      </c>
      <c r="C429" s="62" t="s">
        <v>207</v>
      </c>
      <c r="D429" s="115"/>
      <c r="E429" s="62" t="s">
        <v>231</v>
      </c>
      <c r="F429" s="62" t="s">
        <v>263</v>
      </c>
      <c r="G429" s="115" t="s">
        <v>264</v>
      </c>
      <c r="H429" s="115">
        <v>2017.0</v>
      </c>
      <c r="I429" s="115">
        <v>2018.0</v>
      </c>
      <c r="J429" s="221" t="s">
        <v>1663</v>
      </c>
      <c r="K429" s="137">
        <v>-0.03</v>
      </c>
      <c r="L429" s="115" t="s">
        <v>693</v>
      </c>
      <c r="M429" s="139">
        <v>2018.0</v>
      </c>
      <c r="N429" s="115" t="s">
        <v>1664</v>
      </c>
      <c r="O429" s="115"/>
      <c r="P429" s="132">
        <v>2017.0</v>
      </c>
      <c r="Q429" s="115"/>
      <c r="R429" s="115"/>
      <c r="S429" s="115"/>
      <c r="T429" s="115" t="s">
        <v>1664</v>
      </c>
      <c r="U429" s="155"/>
      <c r="V429" s="132">
        <v>2018.0</v>
      </c>
      <c r="W429" s="115" t="s">
        <v>1665</v>
      </c>
      <c r="X429" s="224">
        <v>-0.053</v>
      </c>
      <c r="Y429" s="115"/>
      <c r="Z429" s="115" t="s">
        <v>1664</v>
      </c>
      <c r="AA429" s="115"/>
    </row>
    <row r="430">
      <c r="A430" s="111">
        <v>586.0</v>
      </c>
      <c r="B430" s="115" t="s">
        <v>1593</v>
      </c>
      <c r="C430" s="62" t="s">
        <v>207</v>
      </c>
      <c r="D430" s="115" t="s">
        <v>1666</v>
      </c>
      <c r="E430" s="62" t="s">
        <v>231</v>
      </c>
      <c r="F430" s="62" t="s">
        <v>258</v>
      </c>
      <c r="G430" s="115" t="s">
        <v>494</v>
      </c>
      <c r="H430" s="115">
        <v>2020.0</v>
      </c>
      <c r="I430" s="115">
        <v>2025.0</v>
      </c>
      <c r="J430" s="221" t="s">
        <v>1667</v>
      </c>
      <c r="K430" s="115"/>
      <c r="L430" s="115"/>
      <c r="M430" s="139">
        <v>2023.0</v>
      </c>
      <c r="N430" s="115" t="s">
        <v>1668</v>
      </c>
      <c r="O430" s="115"/>
      <c r="P430" s="132"/>
      <c r="Q430" s="115"/>
      <c r="R430" s="115"/>
      <c r="S430" s="115"/>
      <c r="U430" s="115"/>
      <c r="V430" s="132">
        <v>2022.0</v>
      </c>
      <c r="W430" s="115" t="s">
        <v>1669</v>
      </c>
      <c r="X430" s="115">
        <v>100.0</v>
      </c>
      <c r="Y430" s="115" t="s">
        <v>693</v>
      </c>
      <c r="Z430" s="115" t="s">
        <v>1670</v>
      </c>
      <c r="AA430" s="115"/>
    </row>
    <row r="431">
      <c r="A431" s="111">
        <v>587.0</v>
      </c>
      <c r="B431" s="115" t="s">
        <v>1593</v>
      </c>
      <c r="C431" s="62" t="s">
        <v>343</v>
      </c>
      <c r="D431" s="115" t="s">
        <v>1666</v>
      </c>
      <c r="E431" s="62" t="s">
        <v>231</v>
      </c>
      <c r="F431" s="62" t="s">
        <v>258</v>
      </c>
      <c r="G431" s="115" t="s">
        <v>494</v>
      </c>
      <c r="H431" s="115">
        <v>2020.0</v>
      </c>
      <c r="I431" s="115">
        <v>2025.0</v>
      </c>
      <c r="J431" s="221" t="s">
        <v>1671</v>
      </c>
      <c r="K431" s="115"/>
      <c r="L431" s="115"/>
      <c r="M431" s="139">
        <v>2024.0</v>
      </c>
      <c r="N431" s="115" t="s">
        <v>1607</v>
      </c>
      <c r="O431" s="115"/>
      <c r="P431" s="132"/>
      <c r="Q431" s="115"/>
      <c r="R431" s="115"/>
      <c r="S431" s="115"/>
      <c r="T431" s="115"/>
      <c r="U431" s="115"/>
      <c r="V431" s="132"/>
      <c r="W431" s="115"/>
      <c r="X431" s="115"/>
      <c r="Y431" s="115"/>
      <c r="Z431" s="115"/>
      <c r="AA431" s="115"/>
    </row>
    <row r="432">
      <c r="A432" s="111">
        <v>588.0</v>
      </c>
      <c r="B432" s="115" t="s">
        <v>1593</v>
      </c>
      <c r="C432" s="62" t="s">
        <v>343</v>
      </c>
      <c r="D432" s="115"/>
      <c r="E432" s="62" t="s">
        <v>383</v>
      </c>
      <c r="F432" s="90" t="s">
        <v>209</v>
      </c>
      <c r="G432" s="134"/>
      <c r="H432" s="115">
        <v>2020.0</v>
      </c>
      <c r="I432" s="115">
        <v>2025.0</v>
      </c>
      <c r="J432" s="221" t="s">
        <v>1672</v>
      </c>
      <c r="K432" s="115"/>
      <c r="L432" s="115"/>
      <c r="M432" s="139">
        <v>2025.0</v>
      </c>
      <c r="N432" s="115" t="s">
        <v>1673</v>
      </c>
      <c r="O432" s="115"/>
      <c r="P432" s="132"/>
      <c r="Q432" s="115"/>
      <c r="R432" s="115"/>
      <c r="S432" s="115"/>
      <c r="T432" s="115"/>
      <c r="U432" s="115"/>
      <c r="V432" s="132"/>
      <c r="W432" s="115"/>
      <c r="X432" s="115"/>
      <c r="Y432" s="115"/>
      <c r="Z432" s="115"/>
      <c r="AA432" s="115"/>
    </row>
    <row r="433">
      <c r="A433" s="111">
        <v>589.0</v>
      </c>
      <c r="B433" s="115" t="s">
        <v>1593</v>
      </c>
      <c r="C433" s="62" t="s">
        <v>343</v>
      </c>
      <c r="D433" s="115"/>
      <c r="E433" s="62" t="s">
        <v>208</v>
      </c>
      <c r="F433" s="90" t="s">
        <v>209</v>
      </c>
      <c r="G433" s="134"/>
      <c r="H433" s="115">
        <v>2020.0</v>
      </c>
      <c r="I433" s="115">
        <v>2025.0</v>
      </c>
      <c r="J433" s="221" t="s">
        <v>1674</v>
      </c>
      <c r="K433" s="115"/>
      <c r="L433" s="115"/>
      <c r="M433" s="139">
        <v>2026.0</v>
      </c>
      <c r="N433" s="115" t="s">
        <v>1675</v>
      </c>
      <c r="O433" s="115"/>
      <c r="P433" s="132"/>
      <c r="Q433" s="115"/>
      <c r="R433" s="115"/>
      <c r="S433" s="115"/>
      <c r="T433" s="115"/>
      <c r="U433" s="115"/>
      <c r="V433" s="132"/>
      <c r="W433" s="115"/>
      <c r="X433" s="115"/>
      <c r="Y433" s="115"/>
      <c r="Z433" s="115"/>
      <c r="AA433" s="115"/>
    </row>
    <row r="434">
      <c r="A434" s="111">
        <v>590.0</v>
      </c>
      <c r="B434" s="115" t="s">
        <v>1593</v>
      </c>
      <c r="C434" s="62" t="s">
        <v>343</v>
      </c>
      <c r="D434" s="115" t="s">
        <v>1676</v>
      </c>
      <c r="E434" s="62" t="s">
        <v>208</v>
      </c>
      <c r="F434" s="90" t="s">
        <v>209</v>
      </c>
      <c r="G434" s="134"/>
      <c r="H434" s="115">
        <v>2020.0</v>
      </c>
      <c r="I434" s="115">
        <v>2025.0</v>
      </c>
      <c r="J434" s="221" t="s">
        <v>1677</v>
      </c>
      <c r="K434" s="115"/>
      <c r="L434" s="115"/>
      <c r="M434" s="139">
        <v>2027.0</v>
      </c>
      <c r="N434" s="115" t="s">
        <v>1678</v>
      </c>
      <c r="O434" s="115"/>
      <c r="P434" s="132"/>
      <c r="Q434" s="115"/>
      <c r="R434" s="115"/>
      <c r="S434" s="115"/>
      <c r="T434" s="115"/>
      <c r="U434" s="115"/>
      <c r="V434" s="132"/>
      <c r="W434" s="115"/>
      <c r="X434" s="115"/>
      <c r="Y434" s="115"/>
      <c r="Z434" s="115"/>
      <c r="AA434" s="115"/>
    </row>
    <row r="435">
      <c r="A435" s="111">
        <v>591.0</v>
      </c>
      <c r="B435" s="115" t="s">
        <v>1593</v>
      </c>
      <c r="C435" s="62" t="s">
        <v>343</v>
      </c>
      <c r="D435" s="115"/>
      <c r="E435" s="62" t="s">
        <v>208</v>
      </c>
      <c r="F435" s="62" t="s">
        <v>267</v>
      </c>
      <c r="G435" s="134"/>
      <c r="H435" s="115">
        <v>2020.0</v>
      </c>
      <c r="I435" s="115">
        <v>2025.0</v>
      </c>
      <c r="J435" s="221" t="s">
        <v>1679</v>
      </c>
      <c r="K435" s="115">
        <v>15.0</v>
      </c>
      <c r="L435" s="115" t="s">
        <v>693</v>
      </c>
      <c r="M435" s="139">
        <v>2037.0</v>
      </c>
      <c r="N435" s="115" t="s">
        <v>1680</v>
      </c>
      <c r="O435" s="115"/>
      <c r="P435" s="132">
        <v>2020.0</v>
      </c>
      <c r="Q435" s="115"/>
      <c r="R435" s="115"/>
      <c r="S435" s="115"/>
      <c r="T435" s="115"/>
      <c r="U435" s="115"/>
      <c r="V435" s="132"/>
      <c r="W435" s="115"/>
      <c r="X435" s="115"/>
      <c r="Y435" s="115"/>
      <c r="Z435" s="115"/>
      <c r="AA435" s="115"/>
    </row>
    <row r="436">
      <c r="A436" s="111">
        <v>592.0</v>
      </c>
      <c r="B436" s="115" t="s">
        <v>1593</v>
      </c>
      <c r="C436" s="62" t="s">
        <v>343</v>
      </c>
      <c r="D436" s="115"/>
      <c r="E436" s="62" t="s">
        <v>231</v>
      </c>
      <c r="F436" s="62" t="s">
        <v>244</v>
      </c>
      <c r="G436" s="134"/>
      <c r="H436" s="115">
        <v>2020.0</v>
      </c>
      <c r="I436" s="115">
        <v>2025.0</v>
      </c>
      <c r="J436" s="221" t="s">
        <v>1681</v>
      </c>
      <c r="K436" s="115"/>
      <c r="L436" s="115"/>
      <c r="M436" s="139">
        <v>2033.0</v>
      </c>
      <c r="N436" s="115" t="s">
        <v>1682</v>
      </c>
      <c r="O436" s="115"/>
      <c r="P436" s="132">
        <v>2020.0</v>
      </c>
      <c r="Q436" s="115" t="s">
        <v>1683</v>
      </c>
      <c r="R436" s="115">
        <v>400.0</v>
      </c>
      <c r="S436" s="115" t="s">
        <v>1684</v>
      </c>
      <c r="T436" s="115" t="s">
        <v>1644</v>
      </c>
      <c r="U436" s="115"/>
      <c r="V436" s="132"/>
      <c r="W436" s="115"/>
      <c r="X436" s="115"/>
      <c r="Y436" s="115"/>
      <c r="Z436" s="115"/>
      <c r="AA436" s="115"/>
    </row>
    <row r="437">
      <c r="A437" s="111">
        <v>593.0</v>
      </c>
      <c r="B437" s="115" t="s">
        <v>1593</v>
      </c>
      <c r="C437" s="62" t="s">
        <v>343</v>
      </c>
      <c r="D437" s="115"/>
      <c r="E437" s="62" t="s">
        <v>383</v>
      </c>
      <c r="F437" s="62" t="s">
        <v>461</v>
      </c>
      <c r="G437" s="134"/>
      <c r="H437" s="115">
        <v>2020.0</v>
      </c>
      <c r="I437" s="115">
        <v>2025.0</v>
      </c>
      <c r="J437" s="221" t="s">
        <v>1685</v>
      </c>
      <c r="K437" s="115"/>
      <c r="L437" s="115"/>
      <c r="M437" s="139">
        <v>2021.0</v>
      </c>
      <c r="N437" s="115" t="s">
        <v>1686</v>
      </c>
      <c r="O437" s="115"/>
      <c r="P437" s="132"/>
      <c r="Q437" s="115"/>
      <c r="R437" s="115"/>
      <c r="S437" s="115"/>
      <c r="T437" s="115"/>
      <c r="U437" s="115"/>
      <c r="V437" s="132"/>
      <c r="W437" s="115"/>
      <c r="X437" s="115"/>
      <c r="Y437" s="115"/>
      <c r="Z437" s="115"/>
      <c r="AA437" s="115"/>
    </row>
    <row r="438">
      <c r="A438" s="111">
        <v>594.0</v>
      </c>
      <c r="B438" s="115" t="s">
        <v>1593</v>
      </c>
      <c r="C438" s="62" t="s">
        <v>343</v>
      </c>
      <c r="D438" s="115"/>
      <c r="E438" s="62" t="s">
        <v>231</v>
      </c>
      <c r="F438" s="62" t="s">
        <v>244</v>
      </c>
      <c r="G438" s="134"/>
      <c r="H438" s="115">
        <v>2020.0</v>
      </c>
      <c r="I438" s="115">
        <v>2025.0</v>
      </c>
      <c r="J438" s="221" t="s">
        <v>1687</v>
      </c>
      <c r="K438" s="115"/>
      <c r="L438" s="115"/>
      <c r="M438" s="139">
        <v>2034.0</v>
      </c>
      <c r="N438" s="115" t="s">
        <v>1688</v>
      </c>
      <c r="O438" s="115"/>
      <c r="P438" s="132"/>
      <c r="Q438" s="115"/>
      <c r="R438" s="115"/>
      <c r="S438" s="115"/>
      <c r="T438" s="115"/>
      <c r="U438" s="115"/>
      <c r="V438" s="132"/>
      <c r="W438" s="115"/>
      <c r="X438" s="115"/>
      <c r="Y438" s="115"/>
      <c r="Z438" s="115"/>
      <c r="AA438" s="115"/>
    </row>
    <row r="439">
      <c r="A439" s="111">
        <v>595.0</v>
      </c>
      <c r="B439" s="115" t="s">
        <v>1593</v>
      </c>
      <c r="C439" s="62" t="s">
        <v>343</v>
      </c>
      <c r="D439" s="115"/>
      <c r="E439" s="62" t="s">
        <v>383</v>
      </c>
      <c r="F439" s="62" t="s">
        <v>220</v>
      </c>
      <c r="G439" s="134" t="s">
        <v>374</v>
      </c>
      <c r="H439" s="115">
        <v>2020.0</v>
      </c>
      <c r="I439" s="115">
        <v>2025.0</v>
      </c>
      <c r="J439" s="221" t="s">
        <v>1689</v>
      </c>
      <c r="K439" s="115"/>
      <c r="L439" s="115"/>
      <c r="M439" s="139">
        <v>2029.0</v>
      </c>
      <c r="N439" s="115" t="s">
        <v>1690</v>
      </c>
      <c r="O439" s="115"/>
      <c r="P439" s="132"/>
      <c r="Q439" s="115"/>
      <c r="R439" s="115"/>
      <c r="S439" s="115"/>
      <c r="T439" s="115"/>
      <c r="U439" s="115"/>
      <c r="V439" s="132"/>
      <c r="W439" s="115"/>
      <c r="X439" s="115"/>
      <c r="Y439" s="115"/>
      <c r="Z439" s="115"/>
      <c r="AA439" s="115"/>
    </row>
    <row r="440">
      <c r="A440" s="111">
        <v>596.0</v>
      </c>
      <c r="B440" s="115" t="s">
        <v>1593</v>
      </c>
      <c r="C440" s="62" t="s">
        <v>343</v>
      </c>
      <c r="D440" s="115"/>
      <c r="E440" s="62" t="s">
        <v>231</v>
      </c>
      <c r="F440" s="62" t="s">
        <v>220</v>
      </c>
      <c r="G440" s="134"/>
      <c r="H440" s="115">
        <v>2020.0</v>
      </c>
      <c r="I440" s="115">
        <v>2025.0</v>
      </c>
      <c r="J440" s="221" t="s">
        <v>1691</v>
      </c>
      <c r="K440" s="115"/>
      <c r="L440" s="115"/>
      <c r="M440" s="139">
        <v>2030.0</v>
      </c>
      <c r="N440" s="115" t="s">
        <v>1692</v>
      </c>
      <c r="O440" s="115"/>
      <c r="P440" s="132">
        <v>2020.0</v>
      </c>
      <c r="Q440" s="115" t="s">
        <v>1693</v>
      </c>
      <c r="R440" s="115" t="s">
        <v>1694</v>
      </c>
      <c r="S440" s="115"/>
      <c r="T440" s="115" t="s">
        <v>1644</v>
      </c>
      <c r="U440" s="115"/>
      <c r="V440" s="132"/>
      <c r="W440" s="115"/>
      <c r="X440" s="115"/>
      <c r="Y440" s="115"/>
      <c r="Z440" s="115"/>
      <c r="AA440" s="115"/>
    </row>
    <row r="441">
      <c r="A441" s="111">
        <v>597.0</v>
      </c>
      <c r="B441" s="115" t="s">
        <v>1593</v>
      </c>
      <c r="C441" s="62" t="s">
        <v>343</v>
      </c>
      <c r="D441" s="115"/>
      <c r="E441" s="62" t="s">
        <v>231</v>
      </c>
      <c r="F441" s="62" t="s">
        <v>220</v>
      </c>
      <c r="G441" s="134"/>
      <c r="H441" s="115">
        <v>2020.0</v>
      </c>
      <c r="I441" s="115">
        <v>2025.0</v>
      </c>
      <c r="J441" s="221" t="s">
        <v>1695</v>
      </c>
      <c r="K441" s="115"/>
      <c r="L441" s="115"/>
      <c r="M441" s="139">
        <v>2031.0</v>
      </c>
      <c r="N441" s="115" t="s">
        <v>1696</v>
      </c>
      <c r="O441" s="115"/>
      <c r="P441" s="132">
        <v>2020.0</v>
      </c>
      <c r="Q441" s="115" t="s">
        <v>1697</v>
      </c>
      <c r="R441" s="137">
        <v>0.24</v>
      </c>
      <c r="S441" s="115"/>
      <c r="T441" s="115" t="s">
        <v>1644</v>
      </c>
      <c r="U441" s="115"/>
      <c r="V441" s="132"/>
      <c r="W441" s="115"/>
      <c r="X441" s="115"/>
      <c r="Y441" s="115"/>
      <c r="Z441" s="115"/>
      <c r="AA441" s="115"/>
    </row>
    <row r="442">
      <c r="A442" s="111">
        <v>598.0</v>
      </c>
      <c r="B442" s="115" t="s">
        <v>1593</v>
      </c>
      <c r="C442" s="62" t="s">
        <v>343</v>
      </c>
      <c r="D442" s="115"/>
      <c r="E442" s="62" t="s">
        <v>231</v>
      </c>
      <c r="F442" s="62" t="s">
        <v>220</v>
      </c>
      <c r="G442" s="134"/>
      <c r="H442" s="115">
        <v>2020.0</v>
      </c>
      <c r="I442" s="115">
        <v>2025.0</v>
      </c>
      <c r="J442" s="221" t="s">
        <v>1698</v>
      </c>
      <c r="K442" s="115"/>
      <c r="L442" s="115"/>
      <c r="M442" s="139">
        <v>2032.0</v>
      </c>
      <c r="N442" s="115" t="s">
        <v>1699</v>
      </c>
      <c r="O442" s="115"/>
      <c r="P442" s="132">
        <v>2020.0</v>
      </c>
      <c r="Q442" s="115"/>
      <c r="R442" s="115"/>
      <c r="S442" s="115"/>
      <c r="T442" s="115" t="s">
        <v>1644</v>
      </c>
      <c r="U442" s="115"/>
      <c r="V442" s="132"/>
      <c r="W442" s="115"/>
      <c r="X442" s="115"/>
      <c r="Y442" s="115"/>
      <c r="Z442" s="115"/>
      <c r="AA442" s="115"/>
    </row>
    <row r="443">
      <c r="A443" s="111">
        <v>600.0</v>
      </c>
      <c r="B443" s="115" t="s">
        <v>1593</v>
      </c>
      <c r="C443" s="62" t="s">
        <v>343</v>
      </c>
      <c r="D443" s="115"/>
      <c r="E443" s="62" t="s">
        <v>231</v>
      </c>
      <c r="F443" s="62" t="s">
        <v>220</v>
      </c>
      <c r="G443" s="115" t="s">
        <v>1700</v>
      </c>
      <c r="H443" s="115">
        <v>2020.0</v>
      </c>
      <c r="I443" s="115">
        <v>2025.0</v>
      </c>
      <c r="J443" s="221" t="s">
        <v>1701</v>
      </c>
      <c r="K443" s="115">
        <v>100.0</v>
      </c>
      <c r="L443" s="115" t="s">
        <v>693</v>
      </c>
      <c r="M443" s="139">
        <v>2028.0</v>
      </c>
      <c r="N443" s="115" t="s">
        <v>1702</v>
      </c>
      <c r="O443" s="115"/>
      <c r="P443" s="132">
        <v>2020.0</v>
      </c>
      <c r="R443" s="115" t="s">
        <v>1703</v>
      </c>
      <c r="S443" s="115"/>
      <c r="T443" s="115"/>
      <c r="U443" s="115"/>
      <c r="V443" s="132"/>
      <c r="W443" s="115"/>
      <c r="X443" s="115"/>
      <c r="Y443" s="115"/>
      <c r="Z443" s="115"/>
      <c r="AA443" s="115"/>
    </row>
    <row r="444">
      <c r="A444" s="111">
        <v>602.0</v>
      </c>
      <c r="B444" s="115" t="s">
        <v>1593</v>
      </c>
      <c r="C444" s="62" t="s">
        <v>343</v>
      </c>
      <c r="D444" s="115"/>
      <c r="E444" s="62" t="s">
        <v>208</v>
      </c>
      <c r="F444" s="62" t="s">
        <v>263</v>
      </c>
      <c r="G444" s="115" t="s">
        <v>280</v>
      </c>
      <c r="H444" s="115">
        <v>2020.0</v>
      </c>
      <c r="I444" s="115">
        <v>2025.0</v>
      </c>
      <c r="J444" s="221" t="s">
        <v>1704</v>
      </c>
      <c r="K444" s="137">
        <v>-0.35</v>
      </c>
      <c r="L444" s="115" t="s">
        <v>693</v>
      </c>
      <c r="M444" s="139">
        <v>2038.0</v>
      </c>
      <c r="N444" s="115" t="s">
        <v>1705</v>
      </c>
      <c r="O444" s="115"/>
      <c r="P444" s="132">
        <v>2017.0</v>
      </c>
      <c r="Q444" s="115"/>
      <c r="R444" s="115"/>
      <c r="S444" s="115"/>
      <c r="T444" s="115"/>
      <c r="U444" s="155"/>
      <c r="V444" s="132"/>
      <c r="W444" s="115"/>
      <c r="X444" s="224"/>
      <c r="Y444" s="115"/>
      <c r="Z444" s="115"/>
      <c r="AA444" s="115"/>
    </row>
    <row r="445">
      <c r="A445" s="111">
        <v>603.0</v>
      </c>
      <c r="B445" s="115" t="s">
        <v>1593</v>
      </c>
      <c r="C445" s="62" t="s">
        <v>343</v>
      </c>
      <c r="D445" s="115"/>
      <c r="E445" s="62" t="s">
        <v>208</v>
      </c>
      <c r="F445" s="62" t="s">
        <v>263</v>
      </c>
      <c r="G445" s="115" t="s">
        <v>264</v>
      </c>
      <c r="H445" s="115">
        <v>2020.0</v>
      </c>
      <c r="I445" s="115">
        <v>2025.0</v>
      </c>
      <c r="J445" s="221" t="s">
        <v>1706</v>
      </c>
      <c r="K445" s="137">
        <v>-0.6</v>
      </c>
      <c r="L445" s="115" t="s">
        <v>693</v>
      </c>
      <c r="M445" s="139">
        <v>2039.0</v>
      </c>
      <c r="N445" s="115" t="s">
        <v>1707</v>
      </c>
      <c r="O445" s="115"/>
      <c r="P445" s="132"/>
      <c r="Q445" s="115"/>
      <c r="R445" s="115"/>
      <c r="S445" s="115"/>
      <c r="T445" s="115"/>
      <c r="U445" s="155"/>
      <c r="V445" s="132"/>
      <c r="W445" s="115"/>
      <c r="X445" s="224"/>
      <c r="Y445" s="115"/>
      <c r="Z445" s="115"/>
      <c r="AA445" s="115"/>
    </row>
    <row r="446">
      <c r="A446" s="111">
        <v>604.0</v>
      </c>
      <c r="B446" s="461" t="s">
        <v>188</v>
      </c>
      <c r="C446" s="62" t="s">
        <v>343</v>
      </c>
      <c r="D446" s="461"/>
      <c r="E446" s="62" t="s">
        <v>208</v>
      </c>
      <c r="F446" s="62" t="s">
        <v>263</v>
      </c>
      <c r="G446" s="115" t="s">
        <v>280</v>
      </c>
      <c r="H446" s="115">
        <v>2020.0</v>
      </c>
      <c r="I446" s="115">
        <v>2029.0</v>
      </c>
      <c r="J446" s="221" t="s">
        <v>1708</v>
      </c>
      <c r="K446" s="137">
        <v>-0.42</v>
      </c>
      <c r="L446" s="115" t="s">
        <v>671</v>
      </c>
      <c r="M446" s="128">
        <v>2020.0</v>
      </c>
      <c r="N446" s="136" t="s">
        <v>1709</v>
      </c>
      <c r="O446" s="115" t="s">
        <v>1710</v>
      </c>
      <c r="P446" s="132">
        <v>2019.0</v>
      </c>
      <c r="Q446" s="115" t="s">
        <v>671</v>
      </c>
      <c r="R446" s="115" t="s">
        <v>1711</v>
      </c>
      <c r="S446" s="115" t="s">
        <v>653</v>
      </c>
      <c r="T446" s="136" t="s">
        <v>1709</v>
      </c>
      <c r="U446" s="115" t="s">
        <v>1710</v>
      </c>
      <c r="V446" s="132">
        <v>2024.0</v>
      </c>
      <c r="W446" s="115" t="s">
        <v>1712</v>
      </c>
      <c r="X446" s="133" t="s">
        <v>1713</v>
      </c>
      <c r="Y446" s="115" t="s">
        <v>653</v>
      </c>
      <c r="Z446" s="136" t="s">
        <v>189</v>
      </c>
      <c r="AA446" s="115" t="s">
        <v>1714</v>
      </c>
    </row>
    <row r="447">
      <c r="A447" s="111">
        <v>605.0</v>
      </c>
      <c r="B447" s="461" t="s">
        <v>188</v>
      </c>
      <c r="C447" s="62" t="s">
        <v>343</v>
      </c>
      <c r="D447" s="461" t="s">
        <v>1715</v>
      </c>
      <c r="E447" s="62" t="s">
        <v>208</v>
      </c>
      <c r="F447" s="62" t="s">
        <v>263</v>
      </c>
      <c r="G447" s="115" t="s">
        <v>280</v>
      </c>
      <c r="H447" s="115">
        <v>2020.0</v>
      </c>
      <c r="I447" s="115">
        <v>2029.0</v>
      </c>
      <c r="J447" s="221" t="s">
        <v>1716</v>
      </c>
      <c r="K447" s="137">
        <v>-0.42</v>
      </c>
      <c r="L447" s="115" t="s">
        <v>680</v>
      </c>
      <c r="M447" s="128">
        <v>2020.0</v>
      </c>
      <c r="N447" s="136" t="s">
        <v>1709</v>
      </c>
      <c r="O447" s="115" t="s">
        <v>1710</v>
      </c>
      <c r="P447" s="132">
        <v>2019.0</v>
      </c>
      <c r="Q447" s="115" t="s">
        <v>680</v>
      </c>
      <c r="R447" s="115" t="s">
        <v>1717</v>
      </c>
      <c r="S447" s="115" t="s">
        <v>653</v>
      </c>
      <c r="T447" s="136" t="s">
        <v>1709</v>
      </c>
      <c r="U447" s="115" t="s">
        <v>1710</v>
      </c>
      <c r="V447" s="132">
        <v>2024.0</v>
      </c>
      <c r="W447" s="115" t="s">
        <v>1718</v>
      </c>
      <c r="X447" s="133" t="s">
        <v>1719</v>
      </c>
      <c r="Y447" s="115" t="s">
        <v>653</v>
      </c>
      <c r="Z447" s="136" t="s">
        <v>189</v>
      </c>
      <c r="AA447" s="115" t="s">
        <v>1714</v>
      </c>
    </row>
    <row r="448">
      <c r="A448" s="111">
        <v>606.0</v>
      </c>
      <c r="B448" s="461" t="s">
        <v>188</v>
      </c>
      <c r="C448" s="62" t="s">
        <v>207</v>
      </c>
      <c r="D448" s="461"/>
      <c r="E448" s="62" t="s">
        <v>231</v>
      </c>
      <c r="F448" s="62" t="s">
        <v>220</v>
      </c>
      <c r="G448" s="134"/>
      <c r="H448" s="115">
        <v>2020.0</v>
      </c>
      <c r="I448" s="115">
        <v>2025.0</v>
      </c>
      <c r="J448" s="221" t="s">
        <v>1720</v>
      </c>
      <c r="K448" s="137">
        <v>0.25</v>
      </c>
      <c r="L448" s="115" t="s">
        <v>1721</v>
      </c>
      <c r="M448" s="128">
        <v>2020.0</v>
      </c>
      <c r="N448" s="136" t="s">
        <v>1709</v>
      </c>
      <c r="O448" s="115" t="s">
        <v>1722</v>
      </c>
      <c r="P448" s="132"/>
      <c r="Q448" s="115"/>
      <c r="R448" s="115"/>
      <c r="S448" s="115"/>
      <c r="T448" s="124"/>
      <c r="U448" s="115"/>
      <c r="V448" s="132"/>
      <c r="W448" s="115"/>
      <c r="X448" s="133"/>
      <c r="Y448" s="115"/>
      <c r="Z448" s="124"/>
      <c r="AA448" s="115"/>
    </row>
    <row r="449">
      <c r="A449" s="111">
        <v>607.0</v>
      </c>
      <c r="B449" s="461" t="s">
        <v>188</v>
      </c>
      <c r="C449" s="62" t="s">
        <v>343</v>
      </c>
      <c r="D449" s="461"/>
      <c r="E449" s="62" t="s">
        <v>208</v>
      </c>
      <c r="F449" s="62" t="s">
        <v>258</v>
      </c>
      <c r="G449" s="115" t="s">
        <v>494</v>
      </c>
      <c r="H449" s="115">
        <v>2020.0</v>
      </c>
      <c r="I449" s="115">
        <v>2030.0</v>
      </c>
      <c r="J449" s="221" t="s">
        <v>1723</v>
      </c>
      <c r="K449" s="137">
        <v>1.0</v>
      </c>
      <c r="L449" s="115" t="s">
        <v>1724</v>
      </c>
      <c r="M449" s="128">
        <v>2020.0</v>
      </c>
      <c r="N449" s="136" t="s">
        <v>1709</v>
      </c>
      <c r="O449" s="115" t="s">
        <v>1722</v>
      </c>
      <c r="P449" s="132"/>
      <c r="Q449" s="115"/>
      <c r="R449" s="115"/>
      <c r="S449" s="115"/>
      <c r="T449" s="124"/>
      <c r="U449" s="115"/>
      <c r="V449" s="132"/>
      <c r="W449" s="115"/>
      <c r="X449" s="133"/>
      <c r="Y449" s="115"/>
      <c r="Z449" s="124"/>
      <c r="AA449" s="115"/>
    </row>
    <row r="450">
      <c r="A450" s="111">
        <v>608.0</v>
      </c>
      <c r="B450" s="461" t="s">
        <v>188</v>
      </c>
      <c r="C450" s="62" t="s">
        <v>343</v>
      </c>
      <c r="D450" s="461"/>
      <c r="E450" s="62" t="s">
        <v>231</v>
      </c>
      <c r="F450" s="62" t="s">
        <v>220</v>
      </c>
      <c r="G450" s="134"/>
      <c r="H450" s="115">
        <v>2020.0</v>
      </c>
      <c r="I450" s="115">
        <v>2025.0</v>
      </c>
      <c r="J450" s="221" t="s">
        <v>730</v>
      </c>
      <c r="K450" s="137">
        <v>0.0</v>
      </c>
      <c r="L450" s="115" t="s">
        <v>1725</v>
      </c>
      <c r="M450" s="128">
        <v>2020.0</v>
      </c>
      <c r="N450" s="136" t="s">
        <v>1709</v>
      </c>
      <c r="O450" s="115" t="s">
        <v>1722</v>
      </c>
      <c r="P450" s="132"/>
      <c r="Q450" s="115"/>
      <c r="R450" s="115"/>
      <c r="S450" s="115"/>
      <c r="T450" s="124"/>
      <c r="U450" s="115"/>
      <c r="V450" s="132"/>
      <c r="W450" s="115"/>
      <c r="X450" s="133"/>
      <c r="Y450" s="115"/>
      <c r="Z450" s="124"/>
      <c r="AA450" s="115" t="s">
        <v>1726</v>
      </c>
    </row>
    <row r="451">
      <c r="A451" s="111">
        <v>609.0</v>
      </c>
      <c r="B451" s="461" t="s">
        <v>188</v>
      </c>
      <c r="C451" s="62" t="s">
        <v>343</v>
      </c>
      <c r="D451" s="461"/>
      <c r="E451" s="62" t="s">
        <v>231</v>
      </c>
      <c r="F451" s="62" t="s">
        <v>220</v>
      </c>
      <c r="G451" s="134"/>
      <c r="H451" s="115">
        <v>2020.0</v>
      </c>
      <c r="I451" s="115">
        <v>2030.0</v>
      </c>
      <c r="J451" s="221" t="s">
        <v>1727</v>
      </c>
      <c r="K451" s="137">
        <v>0.0</v>
      </c>
      <c r="L451" s="115" t="s">
        <v>1728</v>
      </c>
      <c r="M451" s="128">
        <v>2020.0</v>
      </c>
      <c r="N451" s="136" t="s">
        <v>1709</v>
      </c>
      <c r="O451" s="115" t="s">
        <v>1722</v>
      </c>
      <c r="P451" s="132"/>
      <c r="Q451" s="115"/>
      <c r="R451" s="115"/>
      <c r="S451" s="115"/>
      <c r="T451" s="124"/>
      <c r="U451" s="115"/>
      <c r="V451" s="132"/>
      <c r="W451" s="115"/>
      <c r="X451" s="133"/>
      <c r="Y451" s="115"/>
      <c r="Z451" s="124"/>
      <c r="AA451" s="115" t="s">
        <v>1726</v>
      </c>
    </row>
    <row r="452">
      <c r="A452" s="111">
        <v>610.0</v>
      </c>
      <c r="B452" s="461" t="s">
        <v>188</v>
      </c>
      <c r="C452" s="62" t="s">
        <v>343</v>
      </c>
      <c r="D452" s="461"/>
      <c r="E452" s="62" t="s">
        <v>208</v>
      </c>
      <c r="F452" s="62" t="s">
        <v>220</v>
      </c>
      <c r="G452" s="134"/>
      <c r="H452" s="115">
        <v>2020.0</v>
      </c>
      <c r="I452" s="115">
        <v>2025.0</v>
      </c>
      <c r="J452" s="221" t="s">
        <v>1729</v>
      </c>
      <c r="K452" s="137">
        <v>0.5</v>
      </c>
      <c r="L452" s="115" t="s">
        <v>1730</v>
      </c>
      <c r="M452" s="128">
        <v>2020.0</v>
      </c>
      <c r="N452" s="136" t="s">
        <v>1709</v>
      </c>
      <c r="O452" s="115" t="s">
        <v>1722</v>
      </c>
      <c r="P452" s="132"/>
      <c r="Q452" s="115"/>
      <c r="R452" s="115"/>
      <c r="S452" s="115"/>
      <c r="T452" s="124"/>
      <c r="U452" s="115"/>
      <c r="V452" s="132"/>
      <c r="W452" s="115"/>
      <c r="X452" s="133"/>
      <c r="Y452" s="115"/>
      <c r="Z452" s="124"/>
      <c r="AA452" s="115" t="s">
        <v>1726</v>
      </c>
    </row>
    <row r="453">
      <c r="A453" s="111">
        <v>611.0</v>
      </c>
      <c r="B453" s="461" t="s">
        <v>188</v>
      </c>
      <c r="C453" s="62" t="s">
        <v>343</v>
      </c>
      <c r="D453" s="461"/>
      <c r="E453" s="62" t="s">
        <v>208</v>
      </c>
      <c r="F453" s="62" t="s">
        <v>220</v>
      </c>
      <c r="G453" s="134"/>
      <c r="H453" s="115">
        <v>2020.0</v>
      </c>
      <c r="I453" s="115">
        <v>2030.0</v>
      </c>
      <c r="J453" s="221" t="s">
        <v>1731</v>
      </c>
      <c r="K453" s="137">
        <v>0.5</v>
      </c>
      <c r="L453" s="115" t="s">
        <v>1732</v>
      </c>
      <c r="M453" s="128">
        <v>2020.0</v>
      </c>
      <c r="N453" s="136" t="s">
        <v>1709</v>
      </c>
      <c r="O453" s="115" t="s">
        <v>1722</v>
      </c>
      <c r="P453" s="132"/>
      <c r="Q453" s="115"/>
      <c r="R453" s="115"/>
      <c r="S453" s="115"/>
      <c r="T453" s="124"/>
      <c r="U453" s="115"/>
      <c r="V453" s="132"/>
      <c r="W453" s="115"/>
      <c r="X453" s="133"/>
      <c r="Y453" s="115"/>
      <c r="Z453" s="124"/>
      <c r="AA453" s="115" t="s">
        <v>1726</v>
      </c>
    </row>
    <row r="454">
      <c r="A454" s="111">
        <v>612.0</v>
      </c>
      <c r="B454" s="461" t="s">
        <v>188</v>
      </c>
      <c r="C454" s="62" t="s">
        <v>343</v>
      </c>
      <c r="D454" s="461"/>
      <c r="E454" s="62" t="s">
        <v>231</v>
      </c>
      <c r="F454" s="62" t="s">
        <v>263</v>
      </c>
      <c r="G454" s="115" t="s">
        <v>379</v>
      </c>
      <c r="H454" s="115">
        <v>2023.0</v>
      </c>
      <c r="I454" s="115">
        <v>2050.0</v>
      </c>
      <c r="J454" s="221" t="s">
        <v>1733</v>
      </c>
      <c r="K454" s="137"/>
      <c r="L454" s="115"/>
      <c r="M454" s="128">
        <v>2023.0</v>
      </c>
      <c r="N454" s="136" t="s">
        <v>1734</v>
      </c>
      <c r="O454" s="115" t="s">
        <v>1735</v>
      </c>
      <c r="P454" s="132"/>
      <c r="Q454" s="115"/>
      <c r="R454" s="115"/>
      <c r="S454" s="115"/>
      <c r="T454" s="124"/>
      <c r="U454" s="115"/>
      <c r="V454" s="132"/>
      <c r="W454" s="115"/>
      <c r="X454" s="133"/>
      <c r="Y454" s="115"/>
      <c r="Z454" s="124"/>
      <c r="AA454" s="115"/>
    </row>
    <row r="455">
      <c r="A455" s="111">
        <v>613.0</v>
      </c>
      <c r="B455" s="461" t="s">
        <v>188</v>
      </c>
      <c r="C455" s="62" t="s">
        <v>343</v>
      </c>
      <c r="D455" s="461"/>
      <c r="E455" s="62" t="s">
        <v>231</v>
      </c>
      <c r="F455" s="62" t="s">
        <v>258</v>
      </c>
      <c r="G455" s="134"/>
      <c r="H455" s="115">
        <v>2023.0</v>
      </c>
      <c r="I455" s="115">
        <v>2025.0</v>
      </c>
      <c r="J455" s="221" t="s">
        <v>1736</v>
      </c>
      <c r="K455" s="115">
        <v>100.0</v>
      </c>
      <c r="L455" s="115" t="s">
        <v>1737</v>
      </c>
      <c r="M455" s="128">
        <v>2024.0</v>
      </c>
      <c r="N455" s="136" t="s">
        <v>189</v>
      </c>
      <c r="O455" s="115" t="s">
        <v>1738</v>
      </c>
      <c r="P455" s="132"/>
      <c r="Q455" s="115"/>
      <c r="R455" s="115"/>
      <c r="S455" s="115"/>
      <c r="T455" s="124"/>
      <c r="U455" s="115"/>
      <c r="V455" s="132"/>
      <c r="W455" s="115"/>
      <c r="X455" s="133"/>
      <c r="Y455" s="115"/>
      <c r="Z455" s="124"/>
      <c r="AA455" s="115"/>
    </row>
    <row r="456">
      <c r="A456" s="111">
        <v>614.0</v>
      </c>
      <c r="B456" s="461" t="s">
        <v>188</v>
      </c>
      <c r="C456" s="62" t="s">
        <v>343</v>
      </c>
      <c r="D456" s="461"/>
      <c r="E456" s="62" t="s">
        <v>208</v>
      </c>
      <c r="F456" s="62" t="s">
        <v>244</v>
      </c>
      <c r="G456" s="134"/>
      <c r="H456" s="115">
        <v>2024.0</v>
      </c>
      <c r="I456" s="115">
        <v>2027.0</v>
      </c>
      <c r="J456" s="221" t="s">
        <v>1739</v>
      </c>
      <c r="K456" s="137">
        <v>0.0</v>
      </c>
      <c r="L456" s="115" t="s">
        <v>1740</v>
      </c>
      <c r="M456" s="128">
        <v>2024.0</v>
      </c>
      <c r="N456" s="136" t="s">
        <v>189</v>
      </c>
      <c r="O456" s="115" t="s">
        <v>1741</v>
      </c>
      <c r="P456" s="132"/>
      <c r="Q456" s="115"/>
      <c r="R456" s="115"/>
      <c r="S456" s="115"/>
      <c r="T456" s="124"/>
      <c r="U456" s="115"/>
      <c r="V456" s="132"/>
      <c r="W456" s="115"/>
      <c r="X456" s="133"/>
      <c r="Y456" s="115"/>
      <c r="Z456" s="124"/>
      <c r="AA456" s="115"/>
    </row>
    <row r="457">
      <c r="A457" s="111">
        <v>615.0</v>
      </c>
      <c r="B457" s="461" t="s">
        <v>188</v>
      </c>
      <c r="C457" s="62" t="s">
        <v>343</v>
      </c>
      <c r="D457" s="461"/>
      <c r="E457" s="62" t="s">
        <v>208</v>
      </c>
      <c r="F457" s="62" t="s">
        <v>220</v>
      </c>
      <c r="G457" s="134"/>
      <c r="H457" s="115">
        <v>2024.0</v>
      </c>
      <c r="I457" s="115">
        <v>2026.0</v>
      </c>
      <c r="J457" s="221" t="s">
        <v>1742</v>
      </c>
      <c r="K457" s="137">
        <v>1.0</v>
      </c>
      <c r="L457" s="115" t="s">
        <v>1743</v>
      </c>
      <c r="M457" s="128">
        <v>2024.0</v>
      </c>
      <c r="N457" s="136" t="s">
        <v>189</v>
      </c>
      <c r="O457" s="115" t="s">
        <v>1744</v>
      </c>
      <c r="P457" s="132"/>
      <c r="Q457" s="115"/>
      <c r="R457" s="115"/>
      <c r="S457" s="115"/>
      <c r="T457" s="124"/>
      <c r="U457" s="115"/>
      <c r="V457" s="132">
        <v>2024.0</v>
      </c>
      <c r="W457" s="115" t="s">
        <v>1745</v>
      </c>
      <c r="X457" s="462">
        <v>0.818</v>
      </c>
      <c r="Y457" s="115" t="s">
        <v>1746</v>
      </c>
      <c r="Z457" s="136" t="s">
        <v>189</v>
      </c>
      <c r="AA457" s="115" t="s">
        <v>1747</v>
      </c>
    </row>
    <row r="458">
      <c r="A458" s="111">
        <v>625.0</v>
      </c>
      <c r="B458" s="115" t="s">
        <v>1593</v>
      </c>
      <c r="C458" s="62" t="s">
        <v>219</v>
      </c>
      <c r="D458" s="115"/>
      <c r="E458" s="62" t="s">
        <v>208</v>
      </c>
      <c r="F458" s="62" t="s">
        <v>258</v>
      </c>
      <c r="G458" s="134"/>
      <c r="H458" s="115">
        <v>2008.0</v>
      </c>
      <c r="I458" s="115">
        <v>2010.0</v>
      </c>
      <c r="J458" s="221" t="s">
        <v>1748</v>
      </c>
      <c r="K458" s="115">
        <f>average(5204,4409)*0.75</f>
        <v>3604.875</v>
      </c>
      <c r="L458" s="115" t="s">
        <v>1749</v>
      </c>
      <c r="M458" s="139">
        <v>2007.0</v>
      </c>
      <c r="N458" s="115" t="s">
        <v>1618</v>
      </c>
      <c r="O458" s="115" t="s">
        <v>1750</v>
      </c>
      <c r="P458" s="132" t="s">
        <v>1751</v>
      </c>
      <c r="Q458" s="115"/>
      <c r="R458" s="115">
        <f>average(5204,4409)</f>
        <v>4806.5</v>
      </c>
      <c r="S458" s="115" t="s">
        <v>1749</v>
      </c>
      <c r="T458" s="115" t="s">
        <v>254</v>
      </c>
      <c r="U458" s="115" t="s">
        <v>1363</v>
      </c>
      <c r="V458" s="132">
        <v>2010.0</v>
      </c>
      <c r="W458" s="221" t="s">
        <v>1748</v>
      </c>
      <c r="X458" s="115">
        <v>3713.0</v>
      </c>
      <c r="Y458" s="115" t="s">
        <v>1749</v>
      </c>
      <c r="Z458" s="115" t="s">
        <v>254</v>
      </c>
      <c r="AA458" s="115" t="s">
        <v>1363</v>
      </c>
    </row>
    <row r="459">
      <c r="A459" s="111">
        <v>626.0</v>
      </c>
      <c r="B459" s="115" t="s">
        <v>1593</v>
      </c>
      <c r="C459" s="62" t="s">
        <v>219</v>
      </c>
      <c r="D459" s="115"/>
      <c r="E459" s="62" t="s">
        <v>208</v>
      </c>
      <c r="F459" s="62" t="s">
        <v>267</v>
      </c>
      <c r="G459" s="134"/>
      <c r="H459" s="115">
        <v>2008.0</v>
      </c>
      <c r="I459" s="115">
        <v>2010.0</v>
      </c>
      <c r="J459" s="221" t="s">
        <v>1752</v>
      </c>
      <c r="K459" s="115">
        <f>average(11.3,11.5)*0.75</f>
        <v>8.55</v>
      </c>
      <c r="L459" s="115" t="s">
        <v>1753</v>
      </c>
      <c r="M459" s="139">
        <v>2007.0</v>
      </c>
      <c r="N459" s="115" t="s">
        <v>1618</v>
      </c>
      <c r="O459" s="115" t="s">
        <v>1754</v>
      </c>
      <c r="P459" s="132" t="s">
        <v>1751</v>
      </c>
      <c r="Q459" s="115"/>
      <c r="R459" s="115">
        <f>average(11.3,11.5)</f>
        <v>11.4</v>
      </c>
      <c r="S459" s="115" t="s">
        <v>1753</v>
      </c>
      <c r="T459" s="115" t="s">
        <v>254</v>
      </c>
      <c r="U459" s="115" t="s">
        <v>1363</v>
      </c>
      <c r="V459" s="132">
        <v>2010.0</v>
      </c>
      <c r="W459" s="221" t="s">
        <v>1752</v>
      </c>
      <c r="X459" s="115">
        <v>11.5</v>
      </c>
      <c r="Y459" s="115" t="s">
        <v>1753</v>
      </c>
      <c r="Z459" s="115" t="s">
        <v>254</v>
      </c>
      <c r="AA459" s="115" t="s">
        <v>1755</v>
      </c>
    </row>
    <row r="460">
      <c r="A460" s="111">
        <v>627.0</v>
      </c>
      <c r="B460" s="115" t="s">
        <v>1593</v>
      </c>
      <c r="C460" s="62" t="s">
        <v>207</v>
      </c>
      <c r="D460" s="115"/>
      <c r="E460" s="62" t="s">
        <v>208</v>
      </c>
      <c r="F460" s="62" t="s">
        <v>244</v>
      </c>
      <c r="G460" s="134"/>
      <c r="H460" s="115">
        <v>2008.0</v>
      </c>
      <c r="I460" s="115">
        <v>2010.0</v>
      </c>
      <c r="J460" s="221" t="s">
        <v>1756</v>
      </c>
      <c r="K460" s="115">
        <f>average(0.48,0.45)*0.75</f>
        <v>0.34875</v>
      </c>
      <c r="L460" s="115" t="s">
        <v>1757</v>
      </c>
      <c r="M460" s="139">
        <v>2007.0</v>
      </c>
      <c r="N460" s="115" t="s">
        <v>1618</v>
      </c>
      <c r="O460" s="115" t="s">
        <v>1758</v>
      </c>
      <c r="P460" s="132" t="s">
        <v>1751</v>
      </c>
      <c r="Q460" s="115"/>
      <c r="R460" s="115">
        <f>average(0.48,0.45)</f>
        <v>0.465</v>
      </c>
      <c r="S460" s="115" t="s">
        <v>1757</v>
      </c>
      <c r="T460" s="115" t="s">
        <v>254</v>
      </c>
      <c r="U460" s="115" t="s">
        <v>1363</v>
      </c>
      <c r="V460" s="132">
        <v>2010.0</v>
      </c>
      <c r="W460" s="221" t="s">
        <v>1756</v>
      </c>
      <c r="X460" s="115">
        <v>0.15</v>
      </c>
      <c r="Y460" s="115" t="s">
        <v>1757</v>
      </c>
      <c r="Z460" s="115" t="s">
        <v>254</v>
      </c>
      <c r="AA460" s="115" t="s">
        <v>285</v>
      </c>
    </row>
    <row r="461">
      <c r="A461" s="111">
        <v>628.0</v>
      </c>
      <c r="B461" s="115" t="s">
        <v>1593</v>
      </c>
      <c r="C461" s="62" t="s">
        <v>207</v>
      </c>
      <c r="D461" s="115"/>
      <c r="E461" s="62" t="s">
        <v>208</v>
      </c>
      <c r="F461" s="448" t="s">
        <v>220</v>
      </c>
      <c r="G461" s="134" t="s">
        <v>251</v>
      </c>
      <c r="H461" s="116">
        <v>2016.0</v>
      </c>
      <c r="I461" s="449">
        <v>2020.0</v>
      </c>
      <c r="J461" s="221" t="s">
        <v>1759</v>
      </c>
      <c r="K461" s="137">
        <v>0.5</v>
      </c>
      <c r="L461" s="115" t="s">
        <v>1760</v>
      </c>
      <c r="M461" s="139">
        <v>2016.0</v>
      </c>
      <c r="N461" s="115" t="s">
        <v>1761</v>
      </c>
      <c r="O461" s="115" t="s">
        <v>1762</v>
      </c>
      <c r="P461" s="132"/>
      <c r="Q461" s="115"/>
      <c r="R461" s="115"/>
      <c r="S461" s="115"/>
      <c r="T461" s="115"/>
      <c r="U461" s="155"/>
      <c r="V461" s="132">
        <v>2020.0</v>
      </c>
      <c r="W461" s="115"/>
      <c r="X461" s="224">
        <v>0.994</v>
      </c>
      <c r="Y461" s="115" t="s">
        <v>1760</v>
      </c>
      <c r="Z461" s="115" t="s">
        <v>1648</v>
      </c>
      <c r="AA461" s="115" t="s">
        <v>834</v>
      </c>
    </row>
    <row r="462">
      <c r="A462" s="111">
        <v>629.0</v>
      </c>
      <c r="B462" s="115" t="s">
        <v>1593</v>
      </c>
      <c r="C462" s="62" t="s">
        <v>207</v>
      </c>
      <c r="D462" s="115"/>
      <c r="E462" s="62" t="s">
        <v>208</v>
      </c>
      <c r="F462" s="448" t="s">
        <v>220</v>
      </c>
      <c r="G462" s="134" t="s">
        <v>374</v>
      </c>
      <c r="H462" s="116">
        <v>2016.0</v>
      </c>
      <c r="I462" s="449">
        <v>2020.0</v>
      </c>
      <c r="J462" s="221" t="s">
        <v>1763</v>
      </c>
      <c r="K462" s="137">
        <v>0.9</v>
      </c>
      <c r="L462" s="115" t="s">
        <v>1764</v>
      </c>
      <c r="M462" s="139">
        <v>2016.0</v>
      </c>
      <c r="N462" s="115" t="s">
        <v>1761</v>
      </c>
      <c r="O462" s="115" t="s">
        <v>1762</v>
      </c>
      <c r="P462" s="132"/>
      <c r="Q462" s="115"/>
      <c r="R462" s="115"/>
      <c r="S462" s="115"/>
      <c r="T462" s="115"/>
      <c r="U462" s="155"/>
      <c r="V462" s="132">
        <v>2020.0</v>
      </c>
      <c r="W462" s="115"/>
      <c r="X462" s="463">
        <v>0.979</v>
      </c>
      <c r="Y462" s="115" t="s">
        <v>1765</v>
      </c>
      <c r="Z462" s="115" t="s">
        <v>1766</v>
      </c>
      <c r="AA462" s="115" t="s">
        <v>834</v>
      </c>
    </row>
    <row r="463">
      <c r="A463" s="111">
        <v>630.0</v>
      </c>
      <c r="B463" s="115" t="s">
        <v>1593</v>
      </c>
      <c r="C463" s="62" t="s">
        <v>219</v>
      </c>
      <c r="D463" s="115"/>
      <c r="E463" s="62" t="s">
        <v>208</v>
      </c>
      <c r="F463" s="448" t="s">
        <v>220</v>
      </c>
      <c r="G463" s="134"/>
      <c r="H463" s="116">
        <v>2016.0</v>
      </c>
      <c r="I463" s="449">
        <v>2020.0</v>
      </c>
      <c r="J463" s="221" t="s">
        <v>1767</v>
      </c>
      <c r="K463" s="137">
        <v>0.5</v>
      </c>
      <c r="L463" s="115" t="s">
        <v>1768</v>
      </c>
      <c r="M463" s="139">
        <v>2016.0</v>
      </c>
      <c r="N463" s="115" t="s">
        <v>1761</v>
      </c>
      <c r="O463" s="115" t="s">
        <v>1762</v>
      </c>
      <c r="P463" s="132"/>
      <c r="Q463" s="115"/>
      <c r="R463" s="115"/>
      <c r="S463" s="115"/>
      <c r="T463" s="115"/>
      <c r="U463" s="155"/>
      <c r="V463" s="132">
        <v>2020.0</v>
      </c>
      <c r="W463" s="115"/>
      <c r="X463" s="224">
        <v>0.355</v>
      </c>
      <c r="Y463" s="115" t="s">
        <v>1768</v>
      </c>
      <c r="Z463" s="115" t="s">
        <v>1664</v>
      </c>
      <c r="AA463" s="115" t="s">
        <v>834</v>
      </c>
    </row>
    <row r="464">
      <c r="A464" s="111">
        <v>631.0</v>
      </c>
      <c r="B464" s="115" t="s">
        <v>1593</v>
      </c>
      <c r="C464" s="62" t="s">
        <v>219</v>
      </c>
      <c r="D464" s="115"/>
      <c r="E464" s="62" t="s">
        <v>208</v>
      </c>
      <c r="F464" s="448" t="s">
        <v>220</v>
      </c>
      <c r="G464" s="134"/>
      <c r="H464" s="116">
        <v>2016.0</v>
      </c>
      <c r="I464" s="449">
        <v>2020.0</v>
      </c>
      <c r="J464" s="221" t="s">
        <v>1769</v>
      </c>
      <c r="K464" s="137">
        <v>0.9</v>
      </c>
      <c r="L464" s="115" t="s">
        <v>1770</v>
      </c>
      <c r="M464" s="139">
        <v>2016.0</v>
      </c>
      <c r="N464" s="115" t="s">
        <v>1761</v>
      </c>
      <c r="O464" s="115" t="s">
        <v>1762</v>
      </c>
      <c r="P464" s="132"/>
      <c r="Q464" s="115"/>
      <c r="R464" s="115"/>
      <c r="S464" s="115"/>
      <c r="T464" s="115"/>
      <c r="U464" s="155"/>
      <c r="V464" s="132">
        <v>2020.0</v>
      </c>
      <c r="W464" s="115"/>
      <c r="X464" s="224">
        <v>0.127</v>
      </c>
      <c r="Y464" s="115" t="s">
        <v>1770</v>
      </c>
      <c r="Z464" s="115" t="s">
        <v>1771</v>
      </c>
      <c r="AA464" s="115" t="s">
        <v>1772</v>
      </c>
    </row>
    <row r="465">
      <c r="A465" s="111">
        <v>632.0</v>
      </c>
      <c r="B465" s="115" t="s">
        <v>1593</v>
      </c>
      <c r="C465" s="62" t="s">
        <v>207</v>
      </c>
      <c r="D465" s="115"/>
      <c r="E465" s="62" t="s">
        <v>208</v>
      </c>
      <c r="F465" s="62" t="s">
        <v>220</v>
      </c>
      <c r="G465" s="134" t="s">
        <v>251</v>
      </c>
      <c r="H465" s="115">
        <v>2018.0</v>
      </c>
      <c r="I465" s="449">
        <v>2020.0</v>
      </c>
      <c r="J465" s="464" t="s">
        <v>1759</v>
      </c>
      <c r="K465" s="137">
        <v>0.9</v>
      </c>
      <c r="L465" s="464" t="s">
        <v>1760</v>
      </c>
      <c r="M465" s="139">
        <v>2018.0</v>
      </c>
      <c r="N465" s="115" t="s">
        <v>1773</v>
      </c>
      <c r="O465" s="115" t="s">
        <v>1190</v>
      </c>
      <c r="P465" s="132"/>
      <c r="Q465" s="115"/>
      <c r="R465" s="115"/>
      <c r="S465" s="115"/>
      <c r="T465" s="115"/>
      <c r="U465" s="155"/>
      <c r="V465" s="132">
        <v>2020.0</v>
      </c>
      <c r="X465" s="224">
        <v>0.994</v>
      </c>
      <c r="Y465" s="464" t="s">
        <v>1760</v>
      </c>
      <c r="Z465" s="115" t="s">
        <v>1644</v>
      </c>
      <c r="AA465" s="115" t="s">
        <v>834</v>
      </c>
    </row>
    <row r="466">
      <c r="A466" s="111">
        <v>633.0</v>
      </c>
      <c r="B466" s="115" t="s">
        <v>1593</v>
      </c>
      <c r="C466" s="62" t="s">
        <v>219</v>
      </c>
      <c r="D466" s="115"/>
      <c r="E466" s="62" t="s">
        <v>208</v>
      </c>
      <c r="F466" s="62" t="s">
        <v>220</v>
      </c>
      <c r="G466" s="134"/>
      <c r="H466" s="115">
        <v>2018.0</v>
      </c>
      <c r="I466" s="449">
        <v>2020.0</v>
      </c>
      <c r="J466" s="464" t="s">
        <v>1767</v>
      </c>
      <c r="K466" s="137">
        <v>0.9</v>
      </c>
      <c r="L466" s="464" t="s">
        <v>1768</v>
      </c>
      <c r="M466" s="139">
        <v>2018.0</v>
      </c>
      <c r="N466" s="115" t="s">
        <v>1773</v>
      </c>
      <c r="O466" s="115" t="s">
        <v>1190</v>
      </c>
      <c r="P466" s="132"/>
      <c r="Q466" s="115"/>
      <c r="R466" s="115"/>
      <c r="S466" s="115"/>
      <c r="T466" s="115"/>
      <c r="U466" s="155"/>
      <c r="V466" s="132">
        <v>2020.0</v>
      </c>
      <c r="X466" s="224">
        <v>0.355</v>
      </c>
      <c r="Y466" s="464" t="s">
        <v>1768</v>
      </c>
      <c r="Z466" s="115" t="s">
        <v>1644</v>
      </c>
      <c r="AA466" s="115" t="s">
        <v>1774</v>
      </c>
    </row>
    <row r="467">
      <c r="A467" s="111">
        <v>634.0</v>
      </c>
      <c r="B467" s="115" t="s">
        <v>1593</v>
      </c>
      <c r="C467" s="62" t="s">
        <v>207</v>
      </c>
      <c r="D467" s="115"/>
      <c r="E467" s="62" t="s">
        <v>208</v>
      </c>
      <c r="F467" s="62" t="s">
        <v>220</v>
      </c>
      <c r="G467" s="134"/>
      <c r="H467" s="115">
        <v>2018.0</v>
      </c>
      <c r="I467" s="449">
        <v>2020.0</v>
      </c>
      <c r="J467" s="465" t="s">
        <v>1775</v>
      </c>
      <c r="K467" s="137">
        <v>0.9</v>
      </c>
      <c r="L467" s="115" t="s">
        <v>1776</v>
      </c>
      <c r="M467" s="139">
        <v>2018.0</v>
      </c>
      <c r="N467" s="115" t="s">
        <v>1773</v>
      </c>
      <c r="O467" s="115" t="s">
        <v>1190</v>
      </c>
      <c r="P467" s="132"/>
      <c r="Q467" s="115"/>
      <c r="R467" s="115"/>
      <c r="S467" s="115"/>
      <c r="T467" s="115"/>
      <c r="U467" s="155"/>
      <c r="V467" s="132">
        <v>2020.0</v>
      </c>
      <c r="W467" s="115"/>
      <c r="X467" s="137">
        <v>1.0</v>
      </c>
      <c r="Y467" s="115" t="s">
        <v>1776</v>
      </c>
      <c r="Z467" s="115"/>
      <c r="AA467" s="115"/>
    </row>
    <row r="468">
      <c r="A468" s="111">
        <v>637.0</v>
      </c>
      <c r="B468" s="122" t="s">
        <v>1449</v>
      </c>
      <c r="C468" s="264" t="s">
        <v>343</v>
      </c>
      <c r="D468" s="130"/>
      <c r="E468" s="113" t="s">
        <v>208</v>
      </c>
      <c r="F468" s="114" t="s">
        <v>220</v>
      </c>
      <c r="G468" s="115" t="s">
        <v>251</v>
      </c>
      <c r="H468" s="121">
        <v>2023.0</v>
      </c>
      <c r="I468" s="121">
        <v>2026.0</v>
      </c>
      <c r="J468" s="265" t="s">
        <v>1777</v>
      </c>
      <c r="K468" s="453">
        <v>0.55</v>
      </c>
      <c r="L468" s="122" t="s">
        <v>693</v>
      </c>
      <c r="M468" s="117">
        <v>2024.0</v>
      </c>
      <c r="N468" s="123" t="s">
        <v>1464</v>
      </c>
      <c r="O468" s="130"/>
      <c r="P468" s="243"/>
      <c r="Q468" s="242"/>
      <c r="R468" s="256"/>
      <c r="S468" s="130"/>
      <c r="T468" s="244"/>
      <c r="U468" s="130"/>
      <c r="V468" s="243"/>
      <c r="W468" s="242"/>
      <c r="X468" s="256"/>
      <c r="Y468" s="130"/>
      <c r="Z468" s="244"/>
      <c r="AA468" s="130"/>
    </row>
    <row r="469">
      <c r="A469" s="111">
        <v>638.0</v>
      </c>
      <c r="B469" s="232" t="s">
        <v>140</v>
      </c>
      <c r="C469" s="233" t="s">
        <v>343</v>
      </c>
      <c r="D469" s="232"/>
      <c r="E469" s="252" t="s">
        <v>231</v>
      </c>
      <c r="F469" s="234" t="s">
        <v>244</v>
      </c>
      <c r="G469" s="271"/>
      <c r="H469" s="249">
        <v>2024.0</v>
      </c>
      <c r="I469" s="131">
        <v>2025.0</v>
      </c>
      <c r="J469" s="236" t="s">
        <v>1778</v>
      </c>
      <c r="K469" s="238">
        <v>100.0</v>
      </c>
      <c r="L469" s="238" t="s">
        <v>693</v>
      </c>
      <c r="M469" s="250">
        <v>2024.0</v>
      </c>
      <c r="N469" s="248" t="s">
        <v>871</v>
      </c>
      <c r="O469" s="232" t="s">
        <v>1779</v>
      </c>
      <c r="P469" s="246"/>
      <c r="Q469" s="242"/>
      <c r="R469" s="242"/>
      <c r="S469" s="242"/>
      <c r="T469" s="242"/>
      <c r="U469" s="242"/>
      <c r="V469" s="243"/>
      <c r="W469" s="130"/>
      <c r="X469" s="130"/>
      <c r="Y469" s="242"/>
      <c r="Z469" s="244"/>
      <c r="AA469" s="130"/>
    </row>
    <row r="470">
      <c r="A470" s="111"/>
      <c r="B470" s="115" t="s">
        <v>1593</v>
      </c>
      <c r="C470" s="62" t="s">
        <v>343</v>
      </c>
      <c r="D470" s="115"/>
      <c r="E470" s="62" t="s">
        <v>231</v>
      </c>
      <c r="F470" s="62" t="s">
        <v>244</v>
      </c>
      <c r="G470" s="134"/>
      <c r="H470" s="115">
        <v>2020.0</v>
      </c>
      <c r="I470" s="115">
        <v>2025.0</v>
      </c>
      <c r="J470" s="221" t="s">
        <v>1780</v>
      </c>
      <c r="K470" s="115">
        <v>90.0</v>
      </c>
      <c r="L470" s="115" t="s">
        <v>693</v>
      </c>
      <c r="M470" s="139">
        <v>2035.0</v>
      </c>
      <c r="N470" s="115" t="s">
        <v>1781</v>
      </c>
      <c r="O470" s="115"/>
      <c r="P470" s="132"/>
      <c r="Q470" s="115"/>
      <c r="R470" s="115"/>
      <c r="S470" s="115"/>
      <c r="T470" s="115"/>
      <c r="U470" s="115"/>
      <c r="V470" s="132"/>
      <c r="W470" s="115"/>
      <c r="X470" s="115"/>
      <c r="Y470" s="115"/>
      <c r="Z470" s="115"/>
      <c r="AA470" s="115"/>
    </row>
    <row r="471">
      <c r="A471" s="111"/>
      <c r="B471" s="115" t="s">
        <v>1593</v>
      </c>
      <c r="C471" s="62" t="s">
        <v>343</v>
      </c>
      <c r="D471" s="115"/>
      <c r="E471" s="62" t="s">
        <v>231</v>
      </c>
      <c r="F471" s="62" t="s">
        <v>263</v>
      </c>
      <c r="G471" s="134"/>
      <c r="H471" s="115">
        <v>2020.0</v>
      </c>
      <c r="I471" s="115">
        <v>2025.0</v>
      </c>
      <c r="J471" s="221" t="s">
        <v>1782</v>
      </c>
      <c r="K471" s="115">
        <v>90.0</v>
      </c>
      <c r="L471" s="115" t="s">
        <v>693</v>
      </c>
      <c r="M471" s="139">
        <v>2036.0</v>
      </c>
      <c r="N471" s="115" t="s">
        <v>1783</v>
      </c>
      <c r="O471" s="115"/>
      <c r="P471" s="132"/>
      <c r="Q471" s="115"/>
      <c r="R471" s="115"/>
      <c r="S471" s="115"/>
      <c r="T471" s="115"/>
      <c r="U471" s="115"/>
      <c r="V471" s="132"/>
      <c r="W471" s="115"/>
      <c r="X471" s="115"/>
      <c r="Y471" s="115"/>
      <c r="Z471" s="115"/>
      <c r="AA471" s="115"/>
    </row>
    <row r="472">
      <c r="L472" s="466"/>
      <c r="Q472" s="101"/>
      <c r="S472" s="101"/>
      <c r="W472" s="101"/>
      <c r="Y472" s="467"/>
    </row>
  </sheetData>
  <customSheetViews>
    <customSheetView guid="{2A4A3E25-35FC-4AEB-A4A9-BB4701332593}" filter="1" showAutoFilter="1">
      <autoFilter ref="$A$3:$AA$471">
        <filterColumn colId="1">
          <filters>
            <filter val="Primark"/>
            <filter val="Mango"/>
            <filter val="Adidas"/>
            <filter val="Puma"/>
          </filters>
        </filterColumn>
      </autoFilter>
    </customSheetView>
    <customSheetView guid="{984B896A-6BAE-4F72-A31A-1BEDF194AA0E}" filter="1" showAutoFilter="1">
      <autoFilter ref="$A$3:$AA$471">
        <sortState ref="A3:AA471">
          <sortCondition ref="H3:H471"/>
          <sortCondition ref="I3:I471"/>
        </sortState>
      </autoFilter>
    </customSheetView>
  </customSheetViews>
  <mergeCells count="4">
    <mergeCell ref="E2:G2"/>
    <mergeCell ref="H2:O2"/>
    <mergeCell ref="P2:U2"/>
    <mergeCell ref="V2:AA2"/>
  </mergeCells>
  <dataValidations>
    <dataValidation type="list" allowBlank="1" sqref="F4:F471">
      <formula1>"sustainable materials,emissions,energy,circular economy,waste management,water use,hazardous substances,animal products,environmental protection,eco certification,traceability,others"</formula1>
    </dataValidation>
    <dataValidation type="list" allowBlank="1" sqref="E4:E471">
      <formula1>"high,medium,low"</formula1>
    </dataValidation>
    <dataValidation type="custom" allowBlank="1" showDropDown="1" sqref="M4:M471">
      <formula1>AND(ISNUMBER(M4),(NOT(OR(NOT(ISERROR(DATEVALUE(M4))), AND(ISNUMBER(M4), LEFT(CELL("format", M4))="D")))))</formula1>
    </dataValidation>
    <dataValidation type="list" allowBlank="1" sqref="C4:C471">
      <formula1>"achieved,failed,future,unclear"</formula1>
    </dataValidation>
    <dataValidation type="list" allowBlank="1" sqref="G4:G471">
      <formula1>"emissions - relative,emissions - absolute,emissions - net zero,cotton,leather,renewables,solvent-based adhesives,PVC"</formula1>
    </dataValidation>
  </dataValidations>
  <hyperlinks>
    <hyperlink r:id="rId1" ref="N9"/>
    <hyperlink r:id="rId2" ref="Z9"/>
    <hyperlink r:id="rId3" ref="Z10"/>
    <hyperlink r:id="rId4" ref="N11"/>
    <hyperlink r:id="rId5" ref="Z11"/>
    <hyperlink r:id="rId6" ref="N12"/>
    <hyperlink r:id="rId7" ref="Z12"/>
    <hyperlink r:id="rId8" ref="N13"/>
    <hyperlink r:id="rId9" ref="Z13"/>
    <hyperlink r:id="rId10" ref="N14"/>
    <hyperlink r:id="rId11" ref="Z14"/>
    <hyperlink r:id="rId12" ref="N15"/>
    <hyperlink r:id="rId13" ref="Z15"/>
    <hyperlink r:id="rId14" ref="N16"/>
    <hyperlink r:id="rId15" ref="N17"/>
    <hyperlink r:id="rId16" ref="Z18"/>
    <hyperlink r:id="rId17" ref="Z19"/>
    <hyperlink r:id="rId18" ref="Z30"/>
    <hyperlink r:id="rId19" ref="N31"/>
    <hyperlink r:id="rId20" ref="Z31"/>
    <hyperlink r:id="rId21" ref="N36"/>
    <hyperlink r:id="rId22" ref="T36"/>
    <hyperlink r:id="rId23" ref="Z36"/>
    <hyperlink r:id="rId24" ref="N37"/>
    <hyperlink r:id="rId25" ref="T37"/>
    <hyperlink r:id="rId26" ref="Z37"/>
    <hyperlink r:id="rId27" ref="T38"/>
    <hyperlink r:id="rId28" ref="Z38"/>
    <hyperlink r:id="rId29" ref="T39"/>
    <hyperlink r:id="rId30" ref="Z39"/>
    <hyperlink r:id="rId31" ref="N40"/>
    <hyperlink r:id="rId32" ref="Z41"/>
    <hyperlink r:id="rId33" ref="N43"/>
    <hyperlink r:id="rId34" ref="T43"/>
    <hyperlink r:id="rId35" ref="Z43"/>
    <hyperlink r:id="rId36" ref="N44"/>
    <hyperlink r:id="rId37" ref="T44"/>
    <hyperlink r:id="rId38" ref="Z44"/>
    <hyperlink r:id="rId39" ref="N45"/>
    <hyperlink r:id="rId40" ref="N46"/>
    <hyperlink r:id="rId41" ref="N47"/>
    <hyperlink r:id="rId42" ref="T47"/>
    <hyperlink r:id="rId43" ref="Z47"/>
    <hyperlink r:id="rId44" ref="N48"/>
    <hyperlink r:id="rId45" ref="T48"/>
    <hyperlink r:id="rId46" ref="Z48"/>
    <hyperlink r:id="rId47" ref="N75"/>
    <hyperlink r:id="rId48" ref="N76"/>
    <hyperlink r:id="rId49" ref="N77"/>
    <hyperlink r:id="rId50" ref="N80"/>
    <hyperlink r:id="rId51" ref="N123"/>
    <hyperlink r:id="rId52" ref="N124"/>
    <hyperlink r:id="rId53" ref="T124"/>
    <hyperlink r:id="rId54" ref="N125"/>
    <hyperlink r:id="rId55" ref="N126"/>
    <hyperlink r:id="rId56" ref="N127"/>
    <hyperlink r:id="rId57" ref="N128"/>
    <hyperlink r:id="rId58" ref="N129"/>
    <hyperlink r:id="rId59" ref="N130"/>
    <hyperlink r:id="rId60" ref="T130"/>
    <hyperlink r:id="rId61" ref="Z130"/>
    <hyperlink r:id="rId62" ref="N131"/>
    <hyperlink r:id="rId63" ref="T131"/>
    <hyperlink r:id="rId64" ref="Z131"/>
    <hyperlink r:id="rId65" ref="N132"/>
    <hyperlink r:id="rId66" ref="N133"/>
    <hyperlink r:id="rId67" ref="N144"/>
    <hyperlink r:id="rId68" ref="N145"/>
    <hyperlink r:id="rId69" ref="Z145"/>
    <hyperlink r:id="rId70" ref="N146"/>
    <hyperlink r:id="rId71" ref="N147"/>
    <hyperlink r:id="rId72" ref="Z147"/>
    <hyperlink r:id="rId73" ref="N148"/>
    <hyperlink r:id="rId74" ref="Z148"/>
    <hyperlink r:id="rId75" ref="N149"/>
    <hyperlink r:id="rId76" ref="N150"/>
    <hyperlink r:id="rId77" ref="N151"/>
    <hyperlink r:id="rId78" ref="Z151"/>
    <hyperlink r:id="rId79" ref="N152"/>
    <hyperlink r:id="rId80" ref="Z152"/>
    <hyperlink r:id="rId81" ref="N153"/>
    <hyperlink r:id="rId82" ref="T153"/>
    <hyperlink r:id="rId83" ref="Z153"/>
    <hyperlink r:id="rId84" ref="N154"/>
    <hyperlink r:id="rId85" ref="Z154"/>
    <hyperlink r:id="rId86" ref="N155"/>
    <hyperlink r:id="rId87" ref="T155"/>
    <hyperlink r:id="rId88" ref="Z155"/>
    <hyperlink r:id="rId89" ref="N156"/>
    <hyperlink r:id="rId90" ref="Z156"/>
    <hyperlink r:id="rId91" ref="N157"/>
    <hyperlink r:id="rId92" ref="Z157"/>
    <hyperlink r:id="rId93" ref="N158"/>
    <hyperlink r:id="rId94" ref="T158"/>
    <hyperlink r:id="rId95" ref="Z158"/>
    <hyperlink r:id="rId96" ref="N159"/>
    <hyperlink r:id="rId97" ref="T159"/>
    <hyperlink r:id="rId98" ref="Z159"/>
    <hyperlink r:id="rId99" ref="N160"/>
    <hyperlink r:id="rId100" ref="N161"/>
    <hyperlink r:id="rId101" ref="Z161"/>
    <hyperlink r:id="rId102" ref="N162"/>
    <hyperlink r:id="rId103" ref="Z162"/>
    <hyperlink r:id="rId104" ref="N163"/>
    <hyperlink r:id="rId105" ref="Z163"/>
    <hyperlink r:id="rId106" ref="N164"/>
    <hyperlink r:id="rId107" ref="Z164"/>
    <hyperlink r:id="rId108" ref="N165"/>
    <hyperlink r:id="rId109" ref="Z165"/>
    <hyperlink r:id="rId110" ref="N166"/>
    <hyperlink r:id="rId111" ref="Z166"/>
    <hyperlink r:id="rId112" ref="N167"/>
    <hyperlink r:id="rId113" ref="N168"/>
    <hyperlink r:id="rId114" ref="N169"/>
    <hyperlink r:id="rId115" ref="N170"/>
    <hyperlink r:id="rId116" ref="N171"/>
    <hyperlink r:id="rId117" ref="Z199"/>
    <hyperlink r:id="rId118" ref="N200"/>
    <hyperlink r:id="rId119" ref="N234"/>
    <hyperlink r:id="rId120" ref="N235"/>
    <hyperlink r:id="rId121" ref="N236"/>
    <hyperlink r:id="rId122" ref="N273"/>
    <hyperlink r:id="rId123" ref="N274"/>
    <hyperlink r:id="rId124" ref="N276"/>
    <hyperlink r:id="rId125" ref="N277"/>
    <hyperlink r:id="rId126" ref="N278"/>
    <hyperlink r:id="rId127" ref="N313"/>
    <hyperlink r:id="rId128" ref="N316"/>
    <hyperlink r:id="rId129" ref="T316"/>
    <hyperlink r:id="rId130" ref="N317"/>
    <hyperlink r:id="rId131" ref="T317"/>
    <hyperlink r:id="rId132" ref="N318"/>
    <hyperlink r:id="rId133" ref="T318"/>
    <hyperlink r:id="rId134" location="page=58" ref="Z318"/>
    <hyperlink r:id="rId135" ref="N319"/>
    <hyperlink r:id="rId136" ref="T319"/>
    <hyperlink r:id="rId137" ref="Z319"/>
    <hyperlink r:id="rId138" ref="N320"/>
    <hyperlink r:id="rId139" ref="Z320"/>
    <hyperlink r:id="rId140" ref="N321"/>
    <hyperlink r:id="rId141" ref="T321"/>
    <hyperlink r:id="rId142" ref="Z321"/>
    <hyperlink r:id="rId143" ref="N322"/>
    <hyperlink r:id="rId144" location="page=58" ref="Z322"/>
    <hyperlink r:id="rId145" ref="Z323"/>
    <hyperlink r:id="rId146" ref="N324"/>
    <hyperlink r:id="rId147" ref="Z324"/>
    <hyperlink r:id="rId148" ref="N325"/>
    <hyperlink r:id="rId149" ref="Z325"/>
    <hyperlink r:id="rId150" ref="N326"/>
    <hyperlink r:id="rId151" ref="Z326"/>
    <hyperlink r:id="rId152" ref="N327"/>
    <hyperlink r:id="rId153" ref="Z327"/>
    <hyperlink r:id="rId154" ref="N328"/>
    <hyperlink r:id="rId155" ref="T328"/>
    <hyperlink r:id="rId156" ref="Z328"/>
    <hyperlink r:id="rId157" ref="D329"/>
    <hyperlink r:id="rId158" ref="N329"/>
    <hyperlink r:id="rId159" ref="T329"/>
    <hyperlink r:id="rId160" ref="Z329"/>
    <hyperlink r:id="rId161" ref="N330"/>
    <hyperlink r:id="rId162" ref="Z330"/>
    <hyperlink r:id="rId163" ref="N331"/>
    <hyperlink r:id="rId164" ref="Z331"/>
    <hyperlink r:id="rId165" ref="N332"/>
    <hyperlink r:id="rId166" location="page=58" ref="Z332"/>
    <hyperlink r:id="rId167" ref="N333"/>
    <hyperlink r:id="rId168" ref="T333"/>
    <hyperlink r:id="rId169" location="page=58" ref="Z333"/>
    <hyperlink r:id="rId170" ref="N334"/>
    <hyperlink r:id="rId171" location="page=58" ref="Z334"/>
    <hyperlink r:id="rId172" ref="N335"/>
    <hyperlink r:id="rId173" location="page=58" ref="Z335"/>
    <hyperlink r:id="rId174" ref="N336"/>
    <hyperlink r:id="rId175" ref="T336"/>
    <hyperlink r:id="rId176" location="page=58" ref="Z336"/>
    <hyperlink r:id="rId177" ref="N337"/>
    <hyperlink r:id="rId178" ref="T337"/>
    <hyperlink r:id="rId179" location="page=58" ref="Z337"/>
    <hyperlink r:id="rId180" ref="N338"/>
    <hyperlink r:id="rId181" ref="T338"/>
    <hyperlink r:id="rId182" location="page=58" ref="Z338"/>
    <hyperlink r:id="rId183" ref="N339"/>
    <hyperlink r:id="rId184" ref="T339"/>
    <hyperlink r:id="rId185" location="page=58" ref="Z339"/>
    <hyperlink r:id="rId186" ref="N340"/>
    <hyperlink r:id="rId187" ref="T340"/>
    <hyperlink r:id="rId188" location="page=58" ref="Z340"/>
    <hyperlink r:id="rId189" ref="N341"/>
    <hyperlink r:id="rId190" ref="T341"/>
    <hyperlink r:id="rId191" location="page=58" ref="Z341"/>
    <hyperlink r:id="rId192" ref="N342"/>
    <hyperlink r:id="rId193" ref="T342"/>
    <hyperlink r:id="rId194" location="page=58" ref="Z342"/>
    <hyperlink r:id="rId195" ref="N343"/>
    <hyperlink r:id="rId196" ref="Z343"/>
    <hyperlink r:id="rId197" ref="N344"/>
    <hyperlink r:id="rId198" ref="Z344"/>
    <hyperlink r:id="rId199" ref="N345"/>
    <hyperlink r:id="rId200" ref="Z345"/>
    <hyperlink r:id="rId201" ref="N346"/>
    <hyperlink r:id="rId202" ref="Z346"/>
    <hyperlink r:id="rId203" ref="N347"/>
    <hyperlink r:id="rId204" ref="Z347"/>
    <hyperlink r:id="rId205" ref="N348"/>
    <hyperlink r:id="rId206" ref="Z348"/>
    <hyperlink r:id="rId207" ref="N349"/>
    <hyperlink r:id="rId208" ref="Z349"/>
    <hyperlink r:id="rId209" ref="N350"/>
    <hyperlink r:id="rId210" ref="Z350"/>
    <hyperlink r:id="rId211" ref="N351"/>
    <hyperlink r:id="rId212" ref="Z351"/>
    <hyperlink r:id="rId213" ref="N352"/>
    <hyperlink r:id="rId214" ref="Z352"/>
    <hyperlink r:id="rId215" ref="N353"/>
    <hyperlink r:id="rId216" ref="T353"/>
    <hyperlink r:id="rId217" ref="Z353"/>
    <hyperlink r:id="rId218" ref="N354"/>
    <hyperlink r:id="rId219" ref="Z354"/>
    <hyperlink r:id="rId220" ref="N355"/>
    <hyperlink r:id="rId221" ref="T355"/>
    <hyperlink r:id="rId222" ref="Z355"/>
    <hyperlink r:id="rId223" ref="N356"/>
    <hyperlink r:id="rId224" ref="T356"/>
    <hyperlink r:id="rId225" ref="Z356"/>
    <hyperlink r:id="rId226" ref="N357"/>
    <hyperlink r:id="rId227" ref="T357"/>
    <hyperlink r:id="rId228" ref="N358"/>
    <hyperlink r:id="rId229" ref="N359"/>
    <hyperlink r:id="rId230" ref="T359"/>
    <hyperlink r:id="rId231" ref="Z359"/>
    <hyperlink r:id="rId232" ref="N360"/>
    <hyperlink r:id="rId233" ref="T360"/>
    <hyperlink r:id="rId234" ref="N361"/>
    <hyperlink r:id="rId235" ref="N362"/>
    <hyperlink r:id="rId236" ref="N363"/>
    <hyperlink r:id="rId237" ref="N364"/>
    <hyperlink r:id="rId238" ref="T364"/>
    <hyperlink r:id="rId239" ref="N365"/>
    <hyperlink r:id="rId240" ref="N366"/>
    <hyperlink r:id="rId241" ref="N367"/>
    <hyperlink r:id="rId242" ref="T367"/>
    <hyperlink r:id="rId243" ref="N368"/>
    <hyperlink r:id="rId244" ref="N369"/>
    <hyperlink r:id="rId245" ref="N370"/>
    <hyperlink r:id="rId246" ref="N371"/>
    <hyperlink r:id="rId247" ref="N372"/>
    <hyperlink r:id="rId248" ref="N373"/>
    <hyperlink r:id="rId249" ref="N374"/>
    <hyperlink r:id="rId250" ref="N375"/>
    <hyperlink r:id="rId251" ref="T375"/>
    <hyperlink r:id="rId252" ref="Z375"/>
    <hyperlink r:id="rId253" ref="N376"/>
    <hyperlink r:id="rId254" ref="T376"/>
    <hyperlink r:id="rId255" ref="Z376"/>
    <hyperlink r:id="rId256" ref="N377"/>
    <hyperlink r:id="rId257" ref="T377"/>
    <hyperlink r:id="rId258" ref="Z377"/>
    <hyperlink r:id="rId259" ref="N378"/>
    <hyperlink r:id="rId260" ref="T378"/>
    <hyperlink r:id="rId261" ref="Z378"/>
    <hyperlink r:id="rId262" ref="N379"/>
    <hyperlink r:id="rId263" ref="T379"/>
    <hyperlink r:id="rId264" ref="Z379"/>
    <hyperlink r:id="rId265" ref="N380"/>
    <hyperlink r:id="rId266" ref="T380"/>
    <hyperlink r:id="rId267" ref="Z380"/>
    <hyperlink r:id="rId268" ref="N381"/>
    <hyperlink r:id="rId269" ref="N382"/>
    <hyperlink r:id="rId270" ref="T382"/>
    <hyperlink r:id="rId271" ref="Z382"/>
    <hyperlink r:id="rId272" ref="N383"/>
    <hyperlink r:id="rId273" ref="T383"/>
    <hyperlink r:id="rId274" ref="Z383"/>
    <hyperlink r:id="rId275" ref="N384"/>
    <hyperlink r:id="rId276" ref="T384"/>
    <hyperlink r:id="rId277" ref="Z384"/>
    <hyperlink r:id="rId278" ref="N385"/>
    <hyperlink r:id="rId279" ref="T385"/>
    <hyperlink r:id="rId280" ref="Z385"/>
    <hyperlink r:id="rId281" ref="N386"/>
    <hyperlink r:id="rId282" ref="T386"/>
    <hyperlink r:id="rId283" ref="Z386"/>
    <hyperlink r:id="rId284" ref="N387"/>
    <hyperlink r:id="rId285" ref="T387"/>
    <hyperlink r:id="rId286" ref="Z387"/>
    <hyperlink r:id="rId287" ref="N388"/>
    <hyperlink r:id="rId288" ref="T388"/>
    <hyperlink r:id="rId289" ref="Z388"/>
    <hyperlink r:id="rId290" ref="N389"/>
    <hyperlink r:id="rId291" ref="Z389"/>
    <hyperlink r:id="rId292" ref="N390"/>
    <hyperlink r:id="rId293" ref="Z390"/>
    <hyperlink r:id="rId294" ref="N391"/>
    <hyperlink r:id="rId295" ref="T391"/>
    <hyperlink r:id="rId296" ref="Z391"/>
    <hyperlink r:id="rId297" ref="N392"/>
    <hyperlink r:id="rId298" ref="N393"/>
    <hyperlink r:id="rId299" ref="T393"/>
    <hyperlink r:id="rId300" ref="Z393"/>
    <hyperlink r:id="rId301" ref="N394"/>
    <hyperlink r:id="rId302" ref="T394"/>
    <hyperlink r:id="rId303" ref="Z394"/>
    <hyperlink r:id="rId304" ref="N395"/>
    <hyperlink r:id="rId305" ref="N396"/>
    <hyperlink r:id="rId306" ref="T396"/>
    <hyperlink r:id="rId307" ref="N397"/>
    <hyperlink r:id="rId308" ref="AA398"/>
    <hyperlink r:id="rId309" ref="N401"/>
    <hyperlink r:id="rId310" ref="N402"/>
    <hyperlink r:id="rId311" ref="N403"/>
    <hyperlink r:id="rId312" ref="N404"/>
    <hyperlink r:id="rId313" ref="N446"/>
    <hyperlink r:id="rId314" ref="T446"/>
    <hyperlink r:id="rId315" ref="Z446"/>
    <hyperlink r:id="rId316" ref="N447"/>
    <hyperlink r:id="rId317" ref="T447"/>
    <hyperlink r:id="rId318" ref="Z447"/>
    <hyperlink r:id="rId319" ref="N448"/>
    <hyperlink r:id="rId320" ref="N449"/>
    <hyperlink r:id="rId321" ref="N450"/>
    <hyperlink r:id="rId322" ref="N451"/>
    <hyperlink r:id="rId323" ref="N452"/>
    <hyperlink r:id="rId324" ref="N453"/>
    <hyperlink r:id="rId325" ref="N454"/>
    <hyperlink r:id="rId326" ref="N455"/>
    <hyperlink r:id="rId327" ref="N456"/>
    <hyperlink r:id="rId328" ref="N457"/>
    <hyperlink r:id="rId329" ref="Z457"/>
    <hyperlink r:id="rId330" ref="N468"/>
  </hyperlinks>
  <drawing r:id="rId331"/>
  <tableParts count="1">
    <tablePart r:id="rId33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4.63"/>
    <col customWidth="1" min="2" max="2" width="17.13"/>
    <col customWidth="1" min="3" max="3" width="8.88"/>
    <col customWidth="1" min="4" max="4" width="12.75"/>
    <col customWidth="1" min="5" max="5" width="25.88"/>
    <col customWidth="1" min="6" max="6" width="13.5"/>
    <col customWidth="1" min="7" max="7" width="41.0"/>
  </cols>
  <sheetData>
    <row r="1">
      <c r="A1" s="1" t="s">
        <v>1784</v>
      </c>
      <c r="C1" s="2"/>
      <c r="D1" s="2"/>
      <c r="E1" s="2"/>
      <c r="F1" s="2"/>
    </row>
    <row r="2">
      <c r="A2" s="2"/>
      <c r="B2" s="2"/>
      <c r="C2" s="2"/>
      <c r="D2" s="2"/>
      <c r="E2" s="2"/>
      <c r="F2" s="2"/>
    </row>
    <row r="3" ht="22.5" customHeight="1">
      <c r="A3" s="468" t="s">
        <v>1785</v>
      </c>
      <c r="B3" s="468" t="s">
        <v>1786</v>
      </c>
      <c r="C3" s="468" t="s">
        <v>1787</v>
      </c>
      <c r="D3" s="468" t="s">
        <v>1788</v>
      </c>
      <c r="E3" s="469" t="s">
        <v>1789</v>
      </c>
      <c r="F3" s="470" t="s">
        <v>1790</v>
      </c>
    </row>
    <row r="4" ht="22.5" customHeight="1">
      <c r="A4" s="52" t="s">
        <v>101</v>
      </c>
      <c r="B4" s="53" t="s">
        <v>1791</v>
      </c>
      <c r="C4" s="53">
        <v>2000.0</v>
      </c>
      <c r="D4" s="76" t="s">
        <v>1792</v>
      </c>
      <c r="E4" s="90" t="s">
        <v>1793</v>
      </c>
      <c r="F4" s="83"/>
    </row>
    <row r="5" ht="22.5" customHeight="1">
      <c r="A5" s="52" t="s">
        <v>101</v>
      </c>
      <c r="B5" s="53" t="s">
        <v>1791</v>
      </c>
      <c r="C5" s="53">
        <v>2001.0</v>
      </c>
      <c r="D5" s="76" t="s">
        <v>1792</v>
      </c>
      <c r="E5" s="90" t="s">
        <v>1793</v>
      </c>
      <c r="F5" s="61"/>
    </row>
    <row r="6" ht="22.5" customHeight="1">
      <c r="A6" s="52" t="s">
        <v>101</v>
      </c>
      <c r="B6" s="53" t="s">
        <v>1791</v>
      </c>
      <c r="C6" s="53">
        <v>2002.0</v>
      </c>
      <c r="D6" s="76" t="s">
        <v>1792</v>
      </c>
      <c r="E6" s="90" t="s">
        <v>1793</v>
      </c>
      <c r="F6" s="61"/>
    </row>
    <row r="7" ht="22.5" customHeight="1">
      <c r="A7" s="52" t="s">
        <v>101</v>
      </c>
      <c r="B7" s="52" t="s">
        <v>1794</v>
      </c>
      <c r="C7" s="53">
        <v>2003.0</v>
      </c>
      <c r="D7" s="76" t="s">
        <v>1795</v>
      </c>
      <c r="E7" s="90" t="s">
        <v>1796</v>
      </c>
      <c r="F7" s="61" t="s">
        <v>1797</v>
      </c>
    </row>
    <row r="8" ht="22.5" customHeight="1">
      <c r="A8" s="52" t="s">
        <v>101</v>
      </c>
      <c r="B8" s="53" t="s">
        <v>1791</v>
      </c>
      <c r="C8" s="53">
        <v>2003.0</v>
      </c>
      <c r="D8" s="76" t="s">
        <v>1792</v>
      </c>
      <c r="E8" s="90" t="s">
        <v>1793</v>
      </c>
      <c r="F8" s="53" t="s">
        <v>1798</v>
      </c>
    </row>
    <row r="9" ht="22.5" customHeight="1">
      <c r="A9" s="52" t="s">
        <v>101</v>
      </c>
      <c r="B9" s="53" t="s">
        <v>1791</v>
      </c>
      <c r="C9" s="53">
        <v>2004.0</v>
      </c>
      <c r="D9" s="76" t="s">
        <v>1792</v>
      </c>
      <c r="E9" s="90" t="s">
        <v>1793</v>
      </c>
      <c r="F9" s="61" t="s">
        <v>1799</v>
      </c>
    </row>
    <row r="10" ht="22.5" customHeight="1">
      <c r="A10" s="52" t="s">
        <v>101</v>
      </c>
      <c r="B10" s="53" t="s">
        <v>1791</v>
      </c>
      <c r="C10" s="53">
        <v>2005.0</v>
      </c>
      <c r="D10" s="76" t="s">
        <v>1792</v>
      </c>
      <c r="E10" s="90" t="s">
        <v>1793</v>
      </c>
      <c r="F10" s="83"/>
    </row>
    <row r="11" ht="22.5" customHeight="1">
      <c r="A11" s="52" t="s">
        <v>101</v>
      </c>
      <c r="B11" s="52" t="s">
        <v>1794</v>
      </c>
      <c r="C11" s="53">
        <v>2006.0</v>
      </c>
      <c r="D11" s="471" t="s">
        <v>1800</v>
      </c>
      <c r="E11" s="90" t="s">
        <v>1796</v>
      </c>
      <c r="F11" s="83"/>
    </row>
    <row r="12" ht="22.5" customHeight="1">
      <c r="A12" s="52" t="s">
        <v>101</v>
      </c>
      <c r="B12" s="53" t="s">
        <v>1791</v>
      </c>
      <c r="C12" s="53">
        <v>2007.0</v>
      </c>
      <c r="D12" s="76" t="s">
        <v>1792</v>
      </c>
      <c r="E12" s="90" t="s">
        <v>1796</v>
      </c>
      <c r="F12" s="83"/>
    </row>
    <row r="13" ht="22.5" customHeight="1">
      <c r="A13" s="52" t="s">
        <v>101</v>
      </c>
      <c r="B13" s="53" t="s">
        <v>1791</v>
      </c>
      <c r="C13" s="53">
        <v>2008.0</v>
      </c>
      <c r="D13" s="76" t="s">
        <v>1792</v>
      </c>
      <c r="E13" s="90" t="s">
        <v>1796</v>
      </c>
      <c r="F13" s="83"/>
    </row>
    <row r="14" ht="22.5" customHeight="1">
      <c r="A14" s="52" t="s">
        <v>101</v>
      </c>
      <c r="B14" s="52" t="s">
        <v>1794</v>
      </c>
      <c r="C14" s="53">
        <v>2009.0</v>
      </c>
      <c r="D14" s="471" t="s">
        <v>1801</v>
      </c>
      <c r="E14" s="90" t="s">
        <v>1796</v>
      </c>
      <c r="F14" s="83"/>
    </row>
    <row r="15" ht="22.5" customHeight="1">
      <c r="A15" s="52" t="s">
        <v>101</v>
      </c>
      <c r="B15" s="53" t="s">
        <v>1791</v>
      </c>
      <c r="C15" s="53">
        <v>2009.0</v>
      </c>
      <c r="D15" s="76" t="s">
        <v>1792</v>
      </c>
      <c r="E15" s="90" t="s">
        <v>1796</v>
      </c>
      <c r="F15" s="83"/>
    </row>
    <row r="16" ht="22.5" customHeight="1">
      <c r="A16" s="52" t="s">
        <v>101</v>
      </c>
      <c r="B16" s="52" t="s">
        <v>1794</v>
      </c>
      <c r="C16" s="53">
        <v>2010.0</v>
      </c>
      <c r="D16" s="471" t="s">
        <v>1801</v>
      </c>
      <c r="E16" s="90" t="s">
        <v>1796</v>
      </c>
      <c r="F16" s="83"/>
    </row>
    <row r="17" ht="22.5" customHeight="1">
      <c r="A17" s="52" t="s">
        <v>101</v>
      </c>
      <c r="B17" s="53" t="s">
        <v>1791</v>
      </c>
      <c r="C17" s="53">
        <v>2010.0</v>
      </c>
      <c r="D17" s="76" t="s">
        <v>1792</v>
      </c>
      <c r="E17" s="90" t="s">
        <v>1793</v>
      </c>
      <c r="F17" s="83"/>
    </row>
    <row r="18" ht="22.5" customHeight="1">
      <c r="A18" s="52" t="s">
        <v>101</v>
      </c>
      <c r="B18" s="472" t="s">
        <v>1802</v>
      </c>
      <c r="C18" s="473">
        <v>2010.0</v>
      </c>
      <c r="D18" s="474" t="s">
        <v>1803</v>
      </c>
      <c r="E18" s="269" t="s">
        <v>1796</v>
      </c>
      <c r="F18" s="83"/>
    </row>
    <row r="19" ht="22.5" customHeight="1">
      <c r="A19" s="52" t="s">
        <v>101</v>
      </c>
      <c r="B19" s="52" t="s">
        <v>1794</v>
      </c>
      <c r="C19" s="53">
        <v>2011.0</v>
      </c>
      <c r="D19" s="471" t="s">
        <v>1804</v>
      </c>
      <c r="E19" s="90" t="s">
        <v>1796</v>
      </c>
      <c r="F19" s="83"/>
    </row>
    <row r="20" ht="22.5" customHeight="1">
      <c r="A20" s="52" t="s">
        <v>101</v>
      </c>
      <c r="B20" s="53" t="s">
        <v>1791</v>
      </c>
      <c r="C20" s="53">
        <v>2011.0</v>
      </c>
      <c r="D20" s="76" t="s">
        <v>1792</v>
      </c>
      <c r="E20" s="90" t="s">
        <v>1793</v>
      </c>
      <c r="F20" s="83"/>
    </row>
    <row r="21" ht="22.5" customHeight="1">
      <c r="A21" s="52" t="s">
        <v>101</v>
      </c>
      <c r="B21" s="472" t="s">
        <v>1802</v>
      </c>
      <c r="C21" s="473">
        <v>2011.0</v>
      </c>
      <c r="D21" s="474" t="s">
        <v>1803</v>
      </c>
      <c r="E21" s="269" t="s">
        <v>1793</v>
      </c>
      <c r="F21" s="83"/>
    </row>
    <row r="22" ht="22.5" customHeight="1">
      <c r="A22" s="52" t="s">
        <v>101</v>
      </c>
      <c r="B22" s="52" t="s">
        <v>1794</v>
      </c>
      <c r="C22" s="53">
        <v>2012.0</v>
      </c>
      <c r="D22" s="471" t="s">
        <v>1805</v>
      </c>
      <c r="E22" s="90" t="s">
        <v>1796</v>
      </c>
      <c r="F22" s="83"/>
    </row>
    <row r="23" ht="22.5" customHeight="1">
      <c r="A23" s="52" t="s">
        <v>101</v>
      </c>
      <c r="B23" s="53" t="s">
        <v>1791</v>
      </c>
      <c r="C23" s="53">
        <v>2012.0</v>
      </c>
      <c r="D23" s="76" t="s">
        <v>1792</v>
      </c>
      <c r="E23" s="90" t="s">
        <v>1796</v>
      </c>
      <c r="F23" s="83"/>
    </row>
    <row r="24" ht="22.5" customHeight="1">
      <c r="A24" s="52" t="s">
        <v>101</v>
      </c>
      <c r="B24" s="472" t="s">
        <v>1802</v>
      </c>
      <c r="C24" s="473">
        <v>2012.0</v>
      </c>
      <c r="D24" s="474" t="s">
        <v>1803</v>
      </c>
      <c r="E24" s="269" t="s">
        <v>1796</v>
      </c>
      <c r="F24" s="83"/>
    </row>
    <row r="25" ht="22.5" customHeight="1">
      <c r="A25" s="52" t="s">
        <v>101</v>
      </c>
      <c r="B25" s="53" t="s">
        <v>1791</v>
      </c>
      <c r="C25" s="53">
        <v>2013.0</v>
      </c>
      <c r="D25" s="76" t="s">
        <v>1806</v>
      </c>
      <c r="E25" s="90" t="s">
        <v>1796</v>
      </c>
      <c r="F25" s="83"/>
    </row>
    <row r="26" ht="22.5" customHeight="1">
      <c r="A26" s="52" t="s">
        <v>101</v>
      </c>
      <c r="B26" s="472" t="s">
        <v>1802</v>
      </c>
      <c r="C26" s="473">
        <v>2013.0</v>
      </c>
      <c r="D26" s="474" t="s">
        <v>1803</v>
      </c>
      <c r="E26" s="269" t="s">
        <v>1796</v>
      </c>
      <c r="F26" s="83"/>
    </row>
    <row r="27" ht="22.5" customHeight="1">
      <c r="A27" s="52" t="s">
        <v>101</v>
      </c>
      <c r="B27" s="53" t="s">
        <v>1791</v>
      </c>
      <c r="C27" s="53">
        <v>2014.0</v>
      </c>
      <c r="D27" s="471" t="s">
        <v>1806</v>
      </c>
      <c r="E27" s="90" t="s">
        <v>1796</v>
      </c>
      <c r="F27" s="83"/>
    </row>
    <row r="28" ht="22.5" customHeight="1">
      <c r="A28" s="52" t="s">
        <v>101</v>
      </c>
      <c r="B28" s="472" t="s">
        <v>1802</v>
      </c>
      <c r="C28" s="473">
        <v>2014.0</v>
      </c>
      <c r="D28" s="474" t="s">
        <v>1803</v>
      </c>
      <c r="E28" s="269" t="s">
        <v>1796</v>
      </c>
      <c r="F28" s="83"/>
    </row>
    <row r="29" ht="22.5" customHeight="1">
      <c r="A29" s="52" t="s">
        <v>101</v>
      </c>
      <c r="B29" s="53" t="s">
        <v>1791</v>
      </c>
      <c r="C29" s="53">
        <v>2015.0</v>
      </c>
      <c r="D29" s="471" t="s">
        <v>1806</v>
      </c>
      <c r="E29" s="90" t="s">
        <v>1793</v>
      </c>
      <c r="F29" s="83"/>
    </row>
    <row r="30" ht="22.5" customHeight="1">
      <c r="A30" s="52" t="s">
        <v>101</v>
      </c>
      <c r="B30" s="472" t="s">
        <v>1802</v>
      </c>
      <c r="C30" s="473">
        <v>2015.0</v>
      </c>
      <c r="D30" s="474" t="s">
        <v>1803</v>
      </c>
      <c r="E30" s="269" t="s">
        <v>1796</v>
      </c>
      <c r="F30" s="83"/>
    </row>
    <row r="31" ht="22.5" customHeight="1">
      <c r="A31" s="52" t="s">
        <v>101</v>
      </c>
      <c r="B31" s="53" t="s">
        <v>1791</v>
      </c>
      <c r="C31" s="53">
        <v>2016.0</v>
      </c>
      <c r="D31" s="471" t="s">
        <v>1806</v>
      </c>
      <c r="E31" s="90" t="s">
        <v>1793</v>
      </c>
      <c r="F31" s="83"/>
    </row>
    <row r="32" ht="22.5" customHeight="1">
      <c r="A32" s="52" t="s">
        <v>101</v>
      </c>
      <c r="B32" s="472" t="s">
        <v>1802</v>
      </c>
      <c r="C32" s="473">
        <v>2016.0</v>
      </c>
      <c r="D32" s="474" t="s">
        <v>1803</v>
      </c>
      <c r="E32" s="269" t="s">
        <v>1793</v>
      </c>
      <c r="F32" s="83"/>
    </row>
    <row r="33" ht="22.5" customHeight="1">
      <c r="A33" s="52" t="s">
        <v>101</v>
      </c>
      <c r="B33" s="52" t="s">
        <v>1794</v>
      </c>
      <c r="C33" s="53">
        <v>2017.0</v>
      </c>
      <c r="D33" s="471" t="s">
        <v>1807</v>
      </c>
      <c r="E33" s="90" t="s">
        <v>1796</v>
      </c>
      <c r="F33" s="83"/>
    </row>
    <row r="34" ht="22.5" customHeight="1">
      <c r="A34" s="52" t="s">
        <v>101</v>
      </c>
      <c r="B34" s="472" t="s">
        <v>1802</v>
      </c>
      <c r="C34" s="473">
        <v>2017.0</v>
      </c>
      <c r="D34" s="474" t="s">
        <v>1803</v>
      </c>
      <c r="E34" s="269" t="s">
        <v>1793</v>
      </c>
      <c r="F34" s="83"/>
    </row>
    <row r="35" ht="22.5" customHeight="1">
      <c r="A35" s="52" t="s">
        <v>101</v>
      </c>
      <c r="B35" s="52" t="s">
        <v>1794</v>
      </c>
      <c r="C35" s="53">
        <v>2018.0</v>
      </c>
      <c r="D35" s="471" t="s">
        <v>1808</v>
      </c>
      <c r="E35" s="90" t="s">
        <v>1796</v>
      </c>
      <c r="F35" s="83"/>
    </row>
    <row r="36" ht="22.5" customHeight="1">
      <c r="A36" s="52" t="s">
        <v>101</v>
      </c>
      <c r="B36" s="472" t="s">
        <v>1802</v>
      </c>
      <c r="C36" s="473">
        <v>2018.0</v>
      </c>
      <c r="D36" s="474" t="s">
        <v>1803</v>
      </c>
      <c r="E36" s="269" t="s">
        <v>1796</v>
      </c>
      <c r="F36" s="83"/>
    </row>
    <row r="37" ht="22.5" customHeight="1">
      <c r="A37" s="52" t="s">
        <v>101</v>
      </c>
      <c r="B37" s="52" t="s">
        <v>1794</v>
      </c>
      <c r="C37" s="53">
        <v>2019.0</v>
      </c>
      <c r="D37" s="471" t="s">
        <v>1809</v>
      </c>
      <c r="E37" s="90" t="s">
        <v>1796</v>
      </c>
      <c r="F37" s="83"/>
    </row>
    <row r="38" ht="22.5" customHeight="1">
      <c r="A38" s="52" t="s">
        <v>101</v>
      </c>
      <c r="B38" s="472" t="s">
        <v>1802</v>
      </c>
      <c r="C38" s="473">
        <v>2019.0</v>
      </c>
      <c r="D38" s="474" t="s">
        <v>1803</v>
      </c>
      <c r="E38" s="269" t="s">
        <v>1796</v>
      </c>
      <c r="F38" s="83"/>
    </row>
    <row r="39" ht="22.5" customHeight="1">
      <c r="A39" s="52" t="s">
        <v>101</v>
      </c>
      <c r="B39" s="52" t="s">
        <v>1794</v>
      </c>
      <c r="C39" s="53">
        <v>2020.0</v>
      </c>
      <c r="D39" s="471" t="s">
        <v>1810</v>
      </c>
      <c r="E39" s="90" t="s">
        <v>1793</v>
      </c>
      <c r="F39" s="83"/>
    </row>
    <row r="40" ht="22.5" customHeight="1">
      <c r="A40" s="52" t="s">
        <v>101</v>
      </c>
      <c r="B40" s="472" t="s">
        <v>1802</v>
      </c>
      <c r="C40" s="473">
        <v>2020.0</v>
      </c>
      <c r="D40" s="474" t="s">
        <v>1803</v>
      </c>
      <c r="E40" s="269" t="s">
        <v>1793</v>
      </c>
      <c r="F40" s="83"/>
    </row>
    <row r="41" ht="22.5" customHeight="1">
      <c r="A41" s="52" t="s">
        <v>101</v>
      </c>
      <c r="B41" s="52" t="s">
        <v>1794</v>
      </c>
      <c r="C41" s="53">
        <v>2021.0</v>
      </c>
      <c r="D41" s="471" t="s">
        <v>1806</v>
      </c>
      <c r="E41" s="90" t="s">
        <v>1793</v>
      </c>
      <c r="F41" s="83"/>
    </row>
    <row r="42" ht="22.5" customHeight="1">
      <c r="A42" s="52" t="s">
        <v>101</v>
      </c>
      <c r="B42" s="52" t="s">
        <v>1794</v>
      </c>
      <c r="C42" s="53">
        <v>2022.0</v>
      </c>
      <c r="D42" s="471" t="s">
        <v>1811</v>
      </c>
      <c r="E42" s="90" t="s">
        <v>1796</v>
      </c>
      <c r="F42" s="83"/>
    </row>
    <row r="43" ht="22.5" customHeight="1">
      <c r="A43" s="52" t="s">
        <v>101</v>
      </c>
      <c r="B43" s="52" t="s">
        <v>1794</v>
      </c>
      <c r="C43" s="53">
        <v>2023.0</v>
      </c>
      <c r="D43" s="471" t="s">
        <v>1812</v>
      </c>
      <c r="E43" s="90" t="s">
        <v>1793</v>
      </c>
      <c r="F43" s="83"/>
    </row>
    <row r="44" ht="22.5" customHeight="1">
      <c r="A44" s="52" t="s">
        <v>101</v>
      </c>
      <c r="B44" s="52" t="s">
        <v>1794</v>
      </c>
      <c r="C44" s="52">
        <v>2024.0</v>
      </c>
      <c r="D44" s="76" t="s">
        <v>1795</v>
      </c>
      <c r="E44" s="90" t="s">
        <v>1793</v>
      </c>
      <c r="F44" s="83"/>
    </row>
    <row r="45" ht="22.5" customHeight="1">
      <c r="A45" s="61" t="s">
        <v>112</v>
      </c>
      <c r="B45" s="61" t="s">
        <v>1813</v>
      </c>
      <c r="C45" s="61">
        <v>2018.0</v>
      </c>
      <c r="D45" s="64" t="s">
        <v>1814</v>
      </c>
      <c r="E45" s="62" t="s">
        <v>1796</v>
      </c>
      <c r="F45" s="83"/>
    </row>
    <row r="46" ht="22.5" customHeight="1">
      <c r="A46" s="61" t="s">
        <v>112</v>
      </c>
      <c r="B46" s="61" t="s">
        <v>1813</v>
      </c>
      <c r="C46" s="61">
        <v>2019.0</v>
      </c>
      <c r="D46" s="64" t="s">
        <v>505</v>
      </c>
      <c r="E46" s="62" t="s">
        <v>1793</v>
      </c>
      <c r="F46" s="83"/>
    </row>
    <row r="47" ht="22.5" customHeight="1">
      <c r="A47" s="61" t="s">
        <v>112</v>
      </c>
      <c r="B47" s="61" t="s">
        <v>1813</v>
      </c>
      <c r="C47" s="61">
        <v>2020.0</v>
      </c>
      <c r="D47" s="64" t="s">
        <v>650</v>
      </c>
      <c r="E47" s="62" t="s">
        <v>1793</v>
      </c>
      <c r="F47" s="83"/>
    </row>
    <row r="48" ht="22.5" customHeight="1">
      <c r="A48" s="61" t="s">
        <v>112</v>
      </c>
      <c r="B48" s="61" t="s">
        <v>1813</v>
      </c>
      <c r="C48" s="61">
        <v>2021.0</v>
      </c>
      <c r="D48" s="64" t="s">
        <v>669</v>
      </c>
      <c r="E48" s="62" t="s">
        <v>1793</v>
      </c>
      <c r="F48" s="83"/>
    </row>
    <row r="49" ht="22.5" customHeight="1">
      <c r="A49" s="61" t="s">
        <v>112</v>
      </c>
      <c r="B49" s="61" t="s">
        <v>1813</v>
      </c>
      <c r="C49" s="61">
        <v>2022.0</v>
      </c>
      <c r="D49" s="64" t="s">
        <v>654</v>
      </c>
      <c r="E49" s="62" t="s">
        <v>1793</v>
      </c>
      <c r="F49" s="83"/>
    </row>
    <row r="50" ht="22.5" customHeight="1">
      <c r="A50" s="61" t="s">
        <v>112</v>
      </c>
      <c r="B50" s="61" t="s">
        <v>1813</v>
      </c>
      <c r="C50" s="61">
        <v>2023.0</v>
      </c>
      <c r="D50" s="64" t="s">
        <v>676</v>
      </c>
      <c r="E50" s="62" t="s">
        <v>1793</v>
      </c>
      <c r="F50" s="83"/>
    </row>
    <row r="51" ht="22.5" customHeight="1">
      <c r="A51" s="61" t="s">
        <v>123</v>
      </c>
      <c r="B51" s="61" t="s">
        <v>1815</v>
      </c>
      <c r="C51" s="61">
        <v>2017.0</v>
      </c>
      <c r="D51" s="475" t="s">
        <v>1816</v>
      </c>
      <c r="E51" s="62" t="s">
        <v>1796</v>
      </c>
      <c r="F51" s="61"/>
    </row>
    <row r="52" ht="22.5" customHeight="1">
      <c r="A52" s="61" t="s">
        <v>123</v>
      </c>
      <c r="B52" s="61" t="s">
        <v>1815</v>
      </c>
      <c r="C52" s="61">
        <v>2018.0</v>
      </c>
      <c r="D52" s="475" t="s">
        <v>1816</v>
      </c>
      <c r="E52" s="62" t="s">
        <v>1817</v>
      </c>
      <c r="F52" s="61"/>
    </row>
    <row r="53" ht="22.5" customHeight="1">
      <c r="A53" s="61" t="s">
        <v>123</v>
      </c>
      <c r="B53" s="61" t="s">
        <v>1818</v>
      </c>
      <c r="C53" s="61">
        <v>2018.0</v>
      </c>
      <c r="D53" s="475" t="s">
        <v>1816</v>
      </c>
      <c r="E53" s="62" t="s">
        <v>1817</v>
      </c>
      <c r="F53" s="61" t="s">
        <v>1819</v>
      </c>
    </row>
    <row r="54" ht="22.5" customHeight="1">
      <c r="A54" s="61" t="s">
        <v>123</v>
      </c>
      <c r="B54" s="61" t="s">
        <v>1815</v>
      </c>
      <c r="C54" s="61">
        <v>2019.0</v>
      </c>
      <c r="D54" s="475" t="s">
        <v>1816</v>
      </c>
      <c r="E54" s="62" t="s">
        <v>1817</v>
      </c>
      <c r="F54" s="61"/>
    </row>
    <row r="55" ht="22.5" customHeight="1">
      <c r="A55" s="61" t="s">
        <v>123</v>
      </c>
      <c r="B55" s="61" t="s">
        <v>1820</v>
      </c>
      <c r="C55" s="61">
        <v>2020.0</v>
      </c>
      <c r="D55" s="475" t="s">
        <v>1816</v>
      </c>
      <c r="E55" s="62" t="s">
        <v>1793</v>
      </c>
      <c r="F55" s="61"/>
    </row>
    <row r="56" ht="22.5" customHeight="1">
      <c r="A56" s="61" t="s">
        <v>123</v>
      </c>
      <c r="B56" s="61" t="s">
        <v>1821</v>
      </c>
      <c r="C56" s="61">
        <v>2021.0</v>
      </c>
      <c r="D56" s="475" t="s">
        <v>1816</v>
      </c>
      <c r="E56" s="62" t="s">
        <v>1796</v>
      </c>
      <c r="F56" s="61"/>
    </row>
    <row r="57" ht="22.5" customHeight="1">
      <c r="A57" s="61" t="s">
        <v>123</v>
      </c>
      <c r="B57" s="61" t="s">
        <v>1821</v>
      </c>
      <c r="C57" s="61">
        <v>2022.0</v>
      </c>
      <c r="D57" s="475" t="s">
        <v>1816</v>
      </c>
      <c r="E57" s="62" t="s">
        <v>1796</v>
      </c>
      <c r="F57" s="61"/>
    </row>
    <row r="58" ht="22.5" customHeight="1">
      <c r="A58" s="61" t="s">
        <v>123</v>
      </c>
      <c r="B58" s="61" t="s">
        <v>1822</v>
      </c>
      <c r="C58" s="61">
        <v>2023.0</v>
      </c>
      <c r="D58" s="475" t="s">
        <v>1816</v>
      </c>
      <c r="E58" s="62" t="s">
        <v>1793</v>
      </c>
      <c r="F58" s="61"/>
    </row>
    <row r="59" ht="22.5" customHeight="1">
      <c r="A59" s="61" t="s">
        <v>123</v>
      </c>
      <c r="B59" s="61" t="s">
        <v>1822</v>
      </c>
      <c r="C59" s="61">
        <v>2024.0</v>
      </c>
      <c r="D59" s="475" t="s">
        <v>1816</v>
      </c>
      <c r="E59" s="62" t="s">
        <v>1796</v>
      </c>
      <c r="F59" s="61"/>
    </row>
    <row r="60" ht="22.5" customHeight="1">
      <c r="A60" s="476" t="s">
        <v>129</v>
      </c>
      <c r="B60" s="476" t="s">
        <v>1813</v>
      </c>
      <c r="C60" s="477">
        <v>2020.0</v>
      </c>
      <c r="D60" s="478" t="s">
        <v>713</v>
      </c>
      <c r="E60" s="277" t="s">
        <v>1793</v>
      </c>
      <c r="F60" s="83"/>
    </row>
    <row r="61" ht="22.5" customHeight="1">
      <c r="A61" s="479" t="s">
        <v>129</v>
      </c>
      <c r="B61" s="479" t="s">
        <v>1813</v>
      </c>
      <c r="C61" s="480">
        <v>2021.0</v>
      </c>
      <c r="D61" s="481" t="s">
        <v>740</v>
      </c>
      <c r="E61" s="266" t="s">
        <v>1793</v>
      </c>
      <c r="F61" s="83"/>
    </row>
    <row r="62" ht="22.5" customHeight="1">
      <c r="A62" s="476" t="s">
        <v>129</v>
      </c>
      <c r="B62" s="476" t="s">
        <v>1813</v>
      </c>
      <c r="C62" s="477">
        <v>2022.0</v>
      </c>
      <c r="D62" s="478" t="s">
        <v>728</v>
      </c>
      <c r="E62" s="277" t="s">
        <v>1793</v>
      </c>
      <c r="F62" s="83"/>
    </row>
    <row r="63" ht="22.5" customHeight="1">
      <c r="A63" s="479" t="s">
        <v>129</v>
      </c>
      <c r="B63" s="479" t="s">
        <v>1813</v>
      </c>
      <c r="C63" s="480">
        <v>2023.0</v>
      </c>
      <c r="D63" s="481" t="s">
        <v>735</v>
      </c>
      <c r="E63" s="266" t="s">
        <v>1793</v>
      </c>
      <c r="F63" s="83"/>
    </row>
    <row r="64" ht="22.5" customHeight="1">
      <c r="A64" s="476" t="s">
        <v>129</v>
      </c>
      <c r="B64" s="476" t="s">
        <v>1813</v>
      </c>
      <c r="C64" s="477">
        <v>2024.0</v>
      </c>
      <c r="D64" s="478" t="s">
        <v>717</v>
      </c>
      <c r="E64" s="277" t="s">
        <v>1793</v>
      </c>
      <c r="F64" s="83"/>
    </row>
    <row r="65" ht="22.5" customHeight="1">
      <c r="A65" s="61" t="s">
        <v>132</v>
      </c>
      <c r="B65" s="61" t="s">
        <v>1823</v>
      </c>
      <c r="C65" s="61">
        <v>2002.0</v>
      </c>
      <c r="D65" s="64" t="s">
        <v>1824</v>
      </c>
      <c r="E65" s="62" t="s">
        <v>1793</v>
      </c>
      <c r="F65" s="61" t="s">
        <v>1825</v>
      </c>
    </row>
    <row r="66" ht="22.5" customHeight="1">
      <c r="A66" s="61" t="s">
        <v>132</v>
      </c>
      <c r="B66" s="61" t="s">
        <v>1823</v>
      </c>
      <c r="C66" s="61">
        <v>2003.0</v>
      </c>
      <c r="D66" s="64" t="s">
        <v>1824</v>
      </c>
      <c r="E66" s="62" t="s">
        <v>1793</v>
      </c>
      <c r="F66" s="83"/>
    </row>
    <row r="67" ht="22.5" customHeight="1">
      <c r="A67" s="61" t="s">
        <v>132</v>
      </c>
      <c r="B67" s="61" t="s">
        <v>1823</v>
      </c>
      <c r="C67" s="61">
        <v>2004.0</v>
      </c>
      <c r="D67" s="64" t="s">
        <v>1824</v>
      </c>
      <c r="E67" s="62" t="s">
        <v>1793</v>
      </c>
      <c r="F67" s="83"/>
    </row>
    <row r="68" ht="22.5" customHeight="1">
      <c r="A68" s="61" t="s">
        <v>132</v>
      </c>
      <c r="B68" s="61" t="s">
        <v>1823</v>
      </c>
      <c r="C68" s="61">
        <v>2005.0</v>
      </c>
      <c r="D68" s="64" t="s">
        <v>1824</v>
      </c>
      <c r="E68" s="62" t="s">
        <v>1793</v>
      </c>
      <c r="F68" s="83"/>
    </row>
    <row r="69" ht="22.5" customHeight="1">
      <c r="A69" s="61" t="s">
        <v>132</v>
      </c>
      <c r="B69" s="61" t="s">
        <v>1823</v>
      </c>
      <c r="C69" s="61">
        <v>2006.0</v>
      </c>
      <c r="D69" s="64" t="s">
        <v>1824</v>
      </c>
      <c r="E69" s="62" t="s">
        <v>1793</v>
      </c>
      <c r="F69" s="83"/>
    </row>
    <row r="70" ht="22.5" customHeight="1">
      <c r="A70" s="61" t="s">
        <v>132</v>
      </c>
      <c r="B70" s="61" t="s">
        <v>1823</v>
      </c>
      <c r="C70" s="61">
        <v>2007.0</v>
      </c>
      <c r="D70" s="64" t="s">
        <v>1824</v>
      </c>
      <c r="E70" s="62" t="s">
        <v>1793</v>
      </c>
      <c r="F70" s="83"/>
    </row>
    <row r="71" ht="22.5" customHeight="1">
      <c r="A71" s="61" t="s">
        <v>132</v>
      </c>
      <c r="B71" s="61" t="s">
        <v>1823</v>
      </c>
      <c r="C71" s="61">
        <v>2008.0</v>
      </c>
      <c r="D71" s="64" t="s">
        <v>1824</v>
      </c>
      <c r="E71" s="62" t="s">
        <v>1793</v>
      </c>
      <c r="F71" s="83"/>
    </row>
    <row r="72" ht="22.5" customHeight="1">
      <c r="A72" s="61" t="s">
        <v>132</v>
      </c>
      <c r="B72" s="61" t="s">
        <v>1823</v>
      </c>
      <c r="C72" s="61">
        <v>2009.0</v>
      </c>
      <c r="D72" s="64" t="s">
        <v>1824</v>
      </c>
      <c r="E72" s="62" t="s">
        <v>1793</v>
      </c>
      <c r="F72" s="83"/>
    </row>
    <row r="73" ht="22.5" customHeight="1">
      <c r="A73" s="61" t="s">
        <v>132</v>
      </c>
      <c r="B73" s="61" t="s">
        <v>1823</v>
      </c>
      <c r="C73" s="61">
        <v>2010.0</v>
      </c>
      <c r="D73" s="64" t="s">
        <v>1824</v>
      </c>
      <c r="E73" s="62" t="s">
        <v>1793</v>
      </c>
      <c r="F73" s="83"/>
    </row>
    <row r="74" ht="22.5" customHeight="1">
      <c r="A74" s="61" t="s">
        <v>132</v>
      </c>
      <c r="B74" s="61" t="s">
        <v>1823</v>
      </c>
      <c r="C74" s="61">
        <v>2011.0</v>
      </c>
      <c r="D74" s="64" t="s">
        <v>1824</v>
      </c>
      <c r="E74" s="62" t="s">
        <v>1793</v>
      </c>
      <c r="F74" s="83"/>
    </row>
    <row r="75" ht="22.5" customHeight="1">
      <c r="A75" s="61" t="s">
        <v>132</v>
      </c>
      <c r="B75" s="61" t="s">
        <v>1823</v>
      </c>
      <c r="C75" s="61">
        <v>2012.0</v>
      </c>
      <c r="D75" s="64" t="s">
        <v>1824</v>
      </c>
      <c r="E75" s="62" t="s">
        <v>1793</v>
      </c>
      <c r="F75" s="83"/>
    </row>
    <row r="76" ht="22.5" customHeight="1">
      <c r="A76" s="61" t="s">
        <v>132</v>
      </c>
      <c r="B76" s="61" t="s">
        <v>1823</v>
      </c>
      <c r="C76" s="61">
        <v>2013.0</v>
      </c>
      <c r="D76" s="64" t="s">
        <v>1824</v>
      </c>
      <c r="E76" s="62" t="s">
        <v>1793</v>
      </c>
      <c r="F76" s="83"/>
    </row>
    <row r="77" ht="22.5" customHeight="1">
      <c r="A77" s="61" t="s">
        <v>132</v>
      </c>
      <c r="B77" s="61" t="s">
        <v>1823</v>
      </c>
      <c r="C77" s="61">
        <v>2014.0</v>
      </c>
      <c r="D77" s="64" t="s">
        <v>1824</v>
      </c>
      <c r="E77" s="62" t="s">
        <v>1793</v>
      </c>
      <c r="F77" s="83"/>
    </row>
    <row r="78" ht="22.5" customHeight="1">
      <c r="A78" s="61" t="s">
        <v>132</v>
      </c>
      <c r="B78" s="61" t="s">
        <v>1823</v>
      </c>
      <c r="C78" s="61">
        <v>2015.0</v>
      </c>
      <c r="D78" s="64" t="s">
        <v>1824</v>
      </c>
      <c r="E78" s="62" t="s">
        <v>1793</v>
      </c>
      <c r="F78" s="83"/>
    </row>
    <row r="79" ht="22.5" customHeight="1">
      <c r="A79" s="61" t="s">
        <v>132</v>
      </c>
      <c r="B79" s="61" t="s">
        <v>1823</v>
      </c>
      <c r="C79" s="61">
        <v>2016.0</v>
      </c>
      <c r="D79" s="64" t="s">
        <v>1824</v>
      </c>
      <c r="E79" s="62" t="s">
        <v>1793</v>
      </c>
      <c r="F79" s="83"/>
    </row>
    <row r="80" ht="22.5" customHeight="1">
      <c r="A80" s="61" t="s">
        <v>132</v>
      </c>
      <c r="B80" s="61" t="s">
        <v>1823</v>
      </c>
      <c r="C80" s="61">
        <v>2017.0</v>
      </c>
      <c r="D80" s="64" t="s">
        <v>1824</v>
      </c>
      <c r="E80" s="62" t="s">
        <v>1796</v>
      </c>
      <c r="F80" s="83"/>
    </row>
    <row r="81" ht="22.5" customHeight="1">
      <c r="A81" s="61" t="s">
        <v>132</v>
      </c>
      <c r="B81" s="61" t="s">
        <v>1823</v>
      </c>
      <c r="C81" s="61">
        <v>2018.0</v>
      </c>
      <c r="D81" s="64" t="s">
        <v>1824</v>
      </c>
      <c r="E81" s="62" t="s">
        <v>1793</v>
      </c>
      <c r="F81" s="83"/>
    </row>
    <row r="82" ht="22.5" customHeight="1">
      <c r="A82" s="61" t="s">
        <v>132</v>
      </c>
      <c r="B82" s="61" t="s">
        <v>1826</v>
      </c>
      <c r="C82" s="61">
        <v>2019.0</v>
      </c>
      <c r="D82" s="64" t="s">
        <v>1824</v>
      </c>
      <c r="E82" s="62" t="s">
        <v>1793</v>
      </c>
      <c r="F82" s="83"/>
    </row>
    <row r="83" ht="22.5" customHeight="1">
      <c r="A83" s="61" t="s">
        <v>132</v>
      </c>
      <c r="B83" s="61" t="s">
        <v>1826</v>
      </c>
      <c r="C83" s="61">
        <v>2020.0</v>
      </c>
      <c r="D83" s="64" t="s">
        <v>1824</v>
      </c>
      <c r="E83" s="62" t="s">
        <v>1793</v>
      </c>
      <c r="F83" s="83"/>
    </row>
    <row r="84" ht="22.5" customHeight="1">
      <c r="A84" s="61" t="s">
        <v>132</v>
      </c>
      <c r="B84" s="61" t="s">
        <v>1827</v>
      </c>
      <c r="C84" s="61">
        <v>2021.0</v>
      </c>
      <c r="D84" s="64" t="s">
        <v>1824</v>
      </c>
      <c r="E84" s="62" t="s">
        <v>1796</v>
      </c>
      <c r="F84" s="83"/>
    </row>
    <row r="85" ht="22.5" customHeight="1">
      <c r="A85" s="61" t="s">
        <v>132</v>
      </c>
      <c r="B85" s="61" t="s">
        <v>1828</v>
      </c>
      <c r="C85" s="61">
        <v>2021.0</v>
      </c>
      <c r="D85" s="64" t="s">
        <v>1824</v>
      </c>
      <c r="E85" s="62" t="s">
        <v>1793</v>
      </c>
      <c r="F85" s="83"/>
    </row>
    <row r="86" ht="22.5" customHeight="1">
      <c r="A86" s="61" t="s">
        <v>132</v>
      </c>
      <c r="B86" s="61" t="s">
        <v>1829</v>
      </c>
      <c r="C86" s="61">
        <v>2022.0</v>
      </c>
      <c r="D86" s="64" t="s">
        <v>1824</v>
      </c>
      <c r="E86" s="62" t="s">
        <v>1796</v>
      </c>
      <c r="F86" s="83"/>
    </row>
    <row r="87" ht="22.5" customHeight="1">
      <c r="A87" s="61" t="s">
        <v>132</v>
      </c>
      <c r="B87" s="61" t="s">
        <v>1828</v>
      </c>
      <c r="C87" s="61">
        <v>2022.0</v>
      </c>
      <c r="D87" s="64" t="s">
        <v>1824</v>
      </c>
      <c r="E87" s="62" t="s">
        <v>1793</v>
      </c>
      <c r="F87" s="83"/>
    </row>
    <row r="88" ht="22.5" customHeight="1">
      <c r="A88" s="61" t="s">
        <v>132</v>
      </c>
      <c r="B88" s="61" t="s">
        <v>1830</v>
      </c>
      <c r="C88" s="61">
        <v>2023.0</v>
      </c>
      <c r="D88" s="64" t="s">
        <v>1824</v>
      </c>
      <c r="E88" s="62" t="s">
        <v>1796</v>
      </c>
      <c r="F88" s="83"/>
    </row>
    <row r="89" ht="22.5" customHeight="1">
      <c r="A89" s="61" t="s">
        <v>132</v>
      </c>
      <c r="B89" s="61" t="s">
        <v>1828</v>
      </c>
      <c r="C89" s="61">
        <v>2023.0</v>
      </c>
      <c r="D89" s="64" t="s">
        <v>1824</v>
      </c>
      <c r="E89" s="62" t="s">
        <v>1793</v>
      </c>
      <c r="F89" s="83"/>
    </row>
    <row r="90" ht="22.5" customHeight="1">
      <c r="A90" s="61" t="s">
        <v>132</v>
      </c>
      <c r="B90" s="61" t="s">
        <v>1831</v>
      </c>
      <c r="C90" s="61">
        <v>2024.0</v>
      </c>
      <c r="D90" s="64" t="s">
        <v>1824</v>
      </c>
      <c r="E90" s="62" t="s">
        <v>1796</v>
      </c>
      <c r="F90" s="83"/>
    </row>
    <row r="91" ht="22.5" customHeight="1">
      <c r="A91" s="61" t="s">
        <v>132</v>
      </c>
      <c r="B91" s="61" t="s">
        <v>1832</v>
      </c>
      <c r="C91" s="61">
        <v>2024.0</v>
      </c>
      <c r="D91" s="64" t="s">
        <v>1824</v>
      </c>
      <c r="E91" s="62" t="s">
        <v>1793</v>
      </c>
      <c r="F91" s="83"/>
    </row>
    <row r="92" ht="22.5" customHeight="1">
      <c r="A92" s="61" t="s">
        <v>140</v>
      </c>
      <c r="B92" s="61" t="s">
        <v>1833</v>
      </c>
      <c r="C92" s="61">
        <v>2005.0</v>
      </c>
      <c r="D92" s="475" t="s">
        <v>1834</v>
      </c>
      <c r="E92" s="62" t="s">
        <v>1817</v>
      </c>
      <c r="F92" s="61"/>
    </row>
    <row r="93" ht="22.5" customHeight="1">
      <c r="A93" s="61" t="s">
        <v>140</v>
      </c>
      <c r="B93" s="61" t="s">
        <v>1833</v>
      </c>
      <c r="C93" s="61">
        <v>2006.0</v>
      </c>
      <c r="D93" s="475" t="s">
        <v>1834</v>
      </c>
      <c r="E93" s="62" t="s">
        <v>1817</v>
      </c>
      <c r="F93" s="61"/>
    </row>
    <row r="94" ht="22.5" customHeight="1">
      <c r="A94" s="61" t="s">
        <v>140</v>
      </c>
      <c r="B94" s="61" t="s">
        <v>1833</v>
      </c>
      <c r="C94" s="61">
        <v>2007.0</v>
      </c>
      <c r="D94" s="475" t="s">
        <v>1834</v>
      </c>
      <c r="E94" s="62" t="s">
        <v>1817</v>
      </c>
      <c r="F94" s="61"/>
    </row>
    <row r="95" ht="22.5" customHeight="1">
      <c r="A95" s="61" t="s">
        <v>140</v>
      </c>
      <c r="B95" s="61" t="s">
        <v>1833</v>
      </c>
      <c r="C95" s="61">
        <v>2008.0</v>
      </c>
      <c r="D95" s="475" t="s">
        <v>1834</v>
      </c>
      <c r="E95" s="62" t="s">
        <v>1817</v>
      </c>
      <c r="F95" s="61"/>
    </row>
    <row r="96" ht="22.5" customHeight="1">
      <c r="A96" s="61" t="s">
        <v>140</v>
      </c>
      <c r="B96" s="61" t="s">
        <v>1833</v>
      </c>
      <c r="C96" s="61">
        <v>2009.0</v>
      </c>
      <c r="D96" s="475" t="s">
        <v>1834</v>
      </c>
      <c r="E96" s="62" t="s">
        <v>1817</v>
      </c>
      <c r="F96" s="61"/>
    </row>
    <row r="97" ht="22.5" customHeight="1">
      <c r="A97" s="61" t="s">
        <v>140</v>
      </c>
      <c r="B97" s="61" t="s">
        <v>1833</v>
      </c>
      <c r="C97" s="61">
        <v>2010.0</v>
      </c>
      <c r="D97" s="475" t="s">
        <v>1816</v>
      </c>
      <c r="E97" s="62" t="s">
        <v>1817</v>
      </c>
      <c r="F97" s="61"/>
    </row>
    <row r="98" ht="22.5" customHeight="1">
      <c r="A98" s="61" t="s">
        <v>140</v>
      </c>
      <c r="B98" s="61" t="s">
        <v>1833</v>
      </c>
      <c r="C98" s="61">
        <v>2011.0</v>
      </c>
      <c r="D98" s="475" t="s">
        <v>1835</v>
      </c>
      <c r="E98" s="62" t="s">
        <v>1817</v>
      </c>
      <c r="F98" s="61"/>
    </row>
    <row r="99" ht="22.5" customHeight="1">
      <c r="A99" s="61" t="s">
        <v>140</v>
      </c>
      <c r="B99" s="61" t="s">
        <v>1833</v>
      </c>
      <c r="C99" s="61">
        <v>2012.0</v>
      </c>
      <c r="D99" s="475" t="s">
        <v>1836</v>
      </c>
      <c r="E99" s="62" t="s">
        <v>1817</v>
      </c>
      <c r="F99" s="61"/>
    </row>
    <row r="100" ht="22.5" customHeight="1">
      <c r="A100" s="61" t="s">
        <v>140</v>
      </c>
      <c r="B100" s="61" t="s">
        <v>1833</v>
      </c>
      <c r="C100" s="61">
        <v>2013.0</v>
      </c>
      <c r="D100" s="475" t="s">
        <v>1837</v>
      </c>
      <c r="E100" s="62" t="s">
        <v>1817</v>
      </c>
      <c r="F100" s="61"/>
    </row>
    <row r="101" ht="22.5" customHeight="1">
      <c r="A101" s="61" t="s">
        <v>140</v>
      </c>
      <c r="B101" s="61" t="s">
        <v>1833</v>
      </c>
      <c r="C101" s="61">
        <v>2014.0</v>
      </c>
      <c r="D101" s="475" t="s">
        <v>1816</v>
      </c>
      <c r="E101" s="62" t="s">
        <v>1817</v>
      </c>
      <c r="F101" s="61"/>
    </row>
    <row r="102" ht="22.5" customHeight="1">
      <c r="A102" s="61" t="s">
        <v>140</v>
      </c>
      <c r="B102" s="61" t="s">
        <v>1833</v>
      </c>
      <c r="C102" s="61">
        <v>2015.0</v>
      </c>
      <c r="D102" s="475" t="s">
        <v>1816</v>
      </c>
      <c r="E102" s="62" t="s">
        <v>1796</v>
      </c>
      <c r="F102" s="61"/>
    </row>
    <row r="103" ht="22.5" customHeight="1">
      <c r="A103" s="61" t="s">
        <v>140</v>
      </c>
      <c r="B103" s="61" t="s">
        <v>1833</v>
      </c>
      <c r="C103" s="61">
        <v>2016.0</v>
      </c>
      <c r="D103" s="475" t="s">
        <v>1816</v>
      </c>
      <c r="E103" s="62" t="s">
        <v>1796</v>
      </c>
      <c r="F103" s="61"/>
    </row>
    <row r="104" ht="22.5" customHeight="1">
      <c r="A104" s="61" t="s">
        <v>140</v>
      </c>
      <c r="B104" s="61" t="s">
        <v>1833</v>
      </c>
      <c r="C104" s="61">
        <v>2017.0</v>
      </c>
      <c r="D104" s="475" t="s">
        <v>1816</v>
      </c>
      <c r="E104" s="62" t="s">
        <v>1796</v>
      </c>
      <c r="F104" s="61"/>
    </row>
    <row r="105" ht="22.5" customHeight="1">
      <c r="A105" s="61" t="s">
        <v>140</v>
      </c>
      <c r="B105" s="61" t="s">
        <v>1833</v>
      </c>
      <c r="C105" s="61">
        <v>2018.0</v>
      </c>
      <c r="D105" s="475" t="s">
        <v>1816</v>
      </c>
      <c r="E105" s="62" t="s">
        <v>1796</v>
      </c>
      <c r="F105" s="61"/>
    </row>
    <row r="106" ht="22.5" customHeight="1">
      <c r="A106" s="61" t="s">
        <v>140</v>
      </c>
      <c r="B106" s="61" t="s">
        <v>1833</v>
      </c>
      <c r="C106" s="61">
        <v>2019.0</v>
      </c>
      <c r="D106" s="475" t="s">
        <v>1816</v>
      </c>
      <c r="E106" s="62" t="s">
        <v>1796</v>
      </c>
      <c r="F106" s="61"/>
    </row>
    <row r="107" ht="22.5" customHeight="1">
      <c r="A107" s="61" t="s">
        <v>140</v>
      </c>
      <c r="B107" s="61" t="s">
        <v>1833</v>
      </c>
      <c r="C107" s="61">
        <v>2020.0</v>
      </c>
      <c r="D107" s="475" t="s">
        <v>1816</v>
      </c>
      <c r="E107" s="62" t="s">
        <v>1793</v>
      </c>
      <c r="F107" s="61"/>
    </row>
    <row r="108" ht="22.5" customHeight="1">
      <c r="A108" s="61" t="s">
        <v>140</v>
      </c>
      <c r="B108" s="61" t="s">
        <v>1833</v>
      </c>
      <c r="C108" s="61">
        <v>2021.0</v>
      </c>
      <c r="D108" s="475" t="s">
        <v>1816</v>
      </c>
      <c r="E108" s="62" t="s">
        <v>1793</v>
      </c>
      <c r="F108" s="61"/>
    </row>
    <row r="109" ht="22.5" customHeight="1">
      <c r="A109" s="61" t="s">
        <v>140</v>
      </c>
      <c r="B109" s="61" t="s">
        <v>1833</v>
      </c>
      <c r="C109" s="61">
        <v>2022.0</v>
      </c>
      <c r="D109" s="475" t="s">
        <v>1816</v>
      </c>
      <c r="E109" s="62" t="s">
        <v>1793</v>
      </c>
      <c r="F109" s="61"/>
    </row>
    <row r="110" ht="22.5" customHeight="1">
      <c r="A110" s="61" t="s">
        <v>140</v>
      </c>
      <c r="B110" s="61" t="s">
        <v>1833</v>
      </c>
      <c r="C110" s="61">
        <v>2023.0</v>
      </c>
      <c r="D110" s="475" t="s">
        <v>1816</v>
      </c>
      <c r="E110" s="62" t="s">
        <v>1793</v>
      </c>
      <c r="F110" s="61"/>
    </row>
    <row r="111" ht="22.5" customHeight="1">
      <c r="A111" s="61" t="s">
        <v>140</v>
      </c>
      <c r="B111" s="61" t="s">
        <v>1833</v>
      </c>
      <c r="C111" s="61">
        <v>2024.0</v>
      </c>
      <c r="D111" s="475" t="s">
        <v>1816</v>
      </c>
      <c r="E111" s="62" t="s">
        <v>1793</v>
      </c>
      <c r="F111" s="61"/>
    </row>
    <row r="112" ht="22.5" customHeight="1">
      <c r="A112" s="61" t="s">
        <v>144</v>
      </c>
      <c r="B112" s="61" t="s">
        <v>1838</v>
      </c>
      <c r="C112" s="61">
        <v>2003.0</v>
      </c>
      <c r="D112" s="64" t="s">
        <v>1839</v>
      </c>
      <c r="E112" s="62" t="s">
        <v>1817</v>
      </c>
      <c r="F112" s="61" t="s">
        <v>1840</v>
      </c>
    </row>
    <row r="113" ht="22.5" customHeight="1">
      <c r="A113" s="61" t="s">
        <v>144</v>
      </c>
      <c r="B113" s="61" t="s">
        <v>1838</v>
      </c>
      <c r="C113" s="61">
        <v>2013.0</v>
      </c>
      <c r="D113" s="482" t="s">
        <v>1841</v>
      </c>
      <c r="E113" s="62" t="s">
        <v>1793</v>
      </c>
      <c r="F113" s="83"/>
    </row>
    <row r="114" ht="22.5" customHeight="1">
      <c r="A114" s="61" t="s">
        <v>144</v>
      </c>
      <c r="B114" s="61" t="s">
        <v>1838</v>
      </c>
      <c r="C114" s="61">
        <v>2014.0</v>
      </c>
      <c r="D114" s="482" t="s">
        <v>1842</v>
      </c>
      <c r="E114" s="62" t="s">
        <v>1793</v>
      </c>
      <c r="F114" s="83"/>
    </row>
    <row r="115" ht="22.5" customHeight="1">
      <c r="A115" s="61" t="s">
        <v>144</v>
      </c>
      <c r="B115" s="61" t="s">
        <v>1838</v>
      </c>
      <c r="C115" s="61">
        <v>2015.0</v>
      </c>
      <c r="D115" s="482" t="s">
        <v>1843</v>
      </c>
      <c r="E115" s="62" t="s">
        <v>1796</v>
      </c>
      <c r="F115" s="61" t="s">
        <v>1844</v>
      </c>
    </row>
    <row r="116" ht="22.5" customHeight="1">
      <c r="A116" s="61" t="s">
        <v>144</v>
      </c>
      <c r="B116" s="61" t="s">
        <v>1838</v>
      </c>
      <c r="C116" s="61">
        <v>2016.0</v>
      </c>
      <c r="D116" s="482" t="s">
        <v>1845</v>
      </c>
      <c r="E116" s="62" t="s">
        <v>1796</v>
      </c>
      <c r="F116" s="83"/>
    </row>
    <row r="117" ht="22.5" customHeight="1">
      <c r="A117" s="61" t="s">
        <v>144</v>
      </c>
      <c r="B117" s="61" t="s">
        <v>1838</v>
      </c>
      <c r="C117" s="61">
        <v>2017.0</v>
      </c>
      <c r="D117" s="483" t="s">
        <v>1846</v>
      </c>
      <c r="E117" s="62" t="s">
        <v>1793</v>
      </c>
      <c r="F117" s="83"/>
    </row>
    <row r="118" ht="22.5" customHeight="1">
      <c r="A118" s="61" t="s">
        <v>144</v>
      </c>
      <c r="B118" s="61" t="s">
        <v>1838</v>
      </c>
      <c r="C118" s="61">
        <v>2018.0</v>
      </c>
      <c r="D118" s="484" t="s">
        <v>1847</v>
      </c>
      <c r="E118" s="62" t="s">
        <v>1793</v>
      </c>
      <c r="F118" s="83"/>
    </row>
    <row r="119" ht="22.5" customHeight="1">
      <c r="A119" s="61" t="s">
        <v>144</v>
      </c>
      <c r="B119" s="61" t="s">
        <v>1838</v>
      </c>
      <c r="C119" s="61">
        <v>2019.0</v>
      </c>
      <c r="D119" s="482" t="s">
        <v>1848</v>
      </c>
      <c r="E119" s="62" t="s">
        <v>1793</v>
      </c>
      <c r="F119" s="83"/>
    </row>
    <row r="120" ht="22.5" customHeight="1">
      <c r="A120" s="61" t="s">
        <v>144</v>
      </c>
      <c r="B120" s="61" t="s">
        <v>1838</v>
      </c>
      <c r="C120" s="61">
        <v>2020.0</v>
      </c>
      <c r="D120" s="482" t="s">
        <v>1849</v>
      </c>
      <c r="E120" s="62" t="s">
        <v>1793</v>
      </c>
      <c r="F120" s="83"/>
    </row>
    <row r="121" ht="22.5" customHeight="1">
      <c r="A121" s="61" t="s">
        <v>144</v>
      </c>
      <c r="B121" s="61" t="s">
        <v>1838</v>
      </c>
      <c r="C121" s="61">
        <v>2021.0</v>
      </c>
      <c r="D121" s="482" t="s">
        <v>1850</v>
      </c>
      <c r="E121" s="62" t="s">
        <v>1817</v>
      </c>
      <c r="F121" s="83"/>
    </row>
    <row r="122" ht="22.5" customHeight="1">
      <c r="A122" s="61" t="s">
        <v>144</v>
      </c>
      <c r="B122" s="61" t="s">
        <v>1851</v>
      </c>
      <c r="C122" s="61">
        <v>2021.0</v>
      </c>
      <c r="D122" s="64" t="s">
        <v>1852</v>
      </c>
      <c r="E122" s="62" t="s">
        <v>1793</v>
      </c>
      <c r="F122" s="83"/>
    </row>
    <row r="123" ht="22.5" customHeight="1">
      <c r="A123" s="61" t="s">
        <v>144</v>
      </c>
      <c r="B123" s="61" t="s">
        <v>1838</v>
      </c>
      <c r="C123" s="61">
        <v>2022.0</v>
      </c>
      <c r="D123" s="482" t="s">
        <v>1853</v>
      </c>
      <c r="E123" s="62" t="s">
        <v>1796</v>
      </c>
      <c r="F123" s="83"/>
    </row>
    <row r="124" ht="22.5" customHeight="1">
      <c r="A124" s="61" t="s">
        <v>144</v>
      </c>
      <c r="B124" s="61" t="s">
        <v>1838</v>
      </c>
      <c r="C124" s="61">
        <v>2023.0</v>
      </c>
      <c r="D124" s="482" t="s">
        <v>1854</v>
      </c>
      <c r="E124" s="62" t="s">
        <v>1793</v>
      </c>
      <c r="F124" s="83"/>
    </row>
    <row r="125" ht="22.5" customHeight="1">
      <c r="A125" s="61" t="s">
        <v>144</v>
      </c>
      <c r="B125" s="61" t="s">
        <v>1855</v>
      </c>
      <c r="C125" s="61">
        <v>2023.0</v>
      </c>
      <c r="D125" s="482" t="s">
        <v>1856</v>
      </c>
      <c r="E125" s="62" t="s">
        <v>1793</v>
      </c>
      <c r="F125" s="83"/>
    </row>
    <row r="126" ht="22.5" customHeight="1">
      <c r="A126" s="61" t="s">
        <v>144</v>
      </c>
      <c r="B126" s="61" t="s">
        <v>1838</v>
      </c>
      <c r="C126" s="61">
        <v>2024.0</v>
      </c>
      <c r="D126" s="64" t="s">
        <v>1857</v>
      </c>
      <c r="E126" s="62" t="s">
        <v>1793</v>
      </c>
      <c r="F126" s="83"/>
    </row>
    <row r="127" ht="22.5" customHeight="1">
      <c r="A127" s="61" t="s">
        <v>152</v>
      </c>
      <c r="B127" s="61" t="s">
        <v>1858</v>
      </c>
      <c r="C127" s="61">
        <v>2001.0</v>
      </c>
      <c r="D127" s="475" t="s">
        <v>1834</v>
      </c>
      <c r="E127" s="62" t="s">
        <v>1817</v>
      </c>
      <c r="F127" s="61"/>
    </row>
    <row r="128" ht="22.5" customHeight="1">
      <c r="A128" s="61" t="s">
        <v>152</v>
      </c>
      <c r="B128" s="61" t="s">
        <v>1858</v>
      </c>
      <c r="C128" s="61">
        <v>2002.0</v>
      </c>
      <c r="D128" s="475" t="s">
        <v>1859</v>
      </c>
      <c r="E128" s="62" t="s">
        <v>1817</v>
      </c>
      <c r="F128" s="61"/>
    </row>
    <row r="129" ht="22.5" customHeight="1">
      <c r="A129" s="61" t="s">
        <v>152</v>
      </c>
      <c r="B129" s="61" t="s">
        <v>1858</v>
      </c>
      <c r="C129" s="61">
        <v>2003.0</v>
      </c>
      <c r="D129" s="475" t="s">
        <v>1859</v>
      </c>
      <c r="E129" s="62" t="s">
        <v>1817</v>
      </c>
      <c r="F129" s="61" t="s">
        <v>1860</v>
      </c>
    </row>
    <row r="130" ht="22.5" customHeight="1">
      <c r="A130" s="61" t="s">
        <v>152</v>
      </c>
      <c r="B130" s="61" t="s">
        <v>1858</v>
      </c>
      <c r="C130" s="61">
        <v>2004.0</v>
      </c>
      <c r="D130" s="475" t="s">
        <v>1859</v>
      </c>
      <c r="E130" s="62" t="s">
        <v>1817</v>
      </c>
      <c r="F130" s="61" t="s">
        <v>1861</v>
      </c>
    </row>
    <row r="131" ht="22.5" customHeight="1">
      <c r="A131" s="61" t="s">
        <v>152</v>
      </c>
      <c r="B131" s="61" t="s">
        <v>1858</v>
      </c>
      <c r="C131" s="61">
        <v>2005.0</v>
      </c>
      <c r="D131" s="475" t="s">
        <v>1859</v>
      </c>
      <c r="E131" s="62" t="s">
        <v>1817</v>
      </c>
      <c r="F131" s="61"/>
    </row>
    <row r="132" ht="22.5" customHeight="1">
      <c r="A132" s="61" t="s">
        <v>152</v>
      </c>
      <c r="B132" s="61" t="s">
        <v>1823</v>
      </c>
      <c r="C132" s="61">
        <v>2006.0</v>
      </c>
      <c r="D132" s="475" t="s">
        <v>1862</v>
      </c>
      <c r="E132" s="62" t="s">
        <v>1817</v>
      </c>
      <c r="F132" s="61"/>
    </row>
    <row r="133" ht="22.5" customHeight="1">
      <c r="A133" s="61" t="s">
        <v>152</v>
      </c>
      <c r="B133" s="61" t="s">
        <v>1858</v>
      </c>
      <c r="C133" s="61">
        <v>2006.0</v>
      </c>
      <c r="D133" s="475" t="s">
        <v>1859</v>
      </c>
      <c r="E133" s="62" t="s">
        <v>1817</v>
      </c>
      <c r="F133" s="61"/>
    </row>
    <row r="134" ht="22.5" customHeight="1">
      <c r="A134" s="61" t="s">
        <v>152</v>
      </c>
      <c r="B134" s="61" t="s">
        <v>1858</v>
      </c>
      <c r="C134" s="61">
        <v>2007.0</v>
      </c>
      <c r="D134" s="475" t="s">
        <v>1859</v>
      </c>
      <c r="E134" s="62" t="s">
        <v>1817</v>
      </c>
      <c r="F134" s="61"/>
    </row>
    <row r="135" ht="22.5" customHeight="1">
      <c r="A135" s="61" t="s">
        <v>152</v>
      </c>
      <c r="B135" s="61" t="s">
        <v>1858</v>
      </c>
      <c r="C135" s="61">
        <v>2008.0</v>
      </c>
      <c r="D135" s="475" t="s">
        <v>1859</v>
      </c>
      <c r="E135" s="62" t="s">
        <v>1817</v>
      </c>
      <c r="F135" s="61"/>
    </row>
    <row r="136" ht="22.5" customHeight="1">
      <c r="A136" s="61" t="s">
        <v>152</v>
      </c>
      <c r="B136" s="61" t="s">
        <v>1823</v>
      </c>
      <c r="C136" s="61">
        <v>2009.0</v>
      </c>
      <c r="D136" s="475" t="s">
        <v>1816</v>
      </c>
      <c r="E136" s="62" t="s">
        <v>1793</v>
      </c>
      <c r="F136" s="61"/>
    </row>
    <row r="137" ht="22.5" customHeight="1">
      <c r="A137" s="61" t="s">
        <v>152</v>
      </c>
      <c r="B137" s="61" t="s">
        <v>1823</v>
      </c>
      <c r="C137" s="61">
        <v>2010.0</v>
      </c>
      <c r="D137" s="475" t="s">
        <v>1816</v>
      </c>
      <c r="E137" s="62" t="s">
        <v>1796</v>
      </c>
      <c r="F137" s="61"/>
    </row>
    <row r="138" ht="22.5" customHeight="1">
      <c r="A138" s="61" t="s">
        <v>152</v>
      </c>
      <c r="B138" s="61" t="s">
        <v>1823</v>
      </c>
      <c r="C138" s="61">
        <v>2011.0</v>
      </c>
      <c r="D138" s="475" t="s">
        <v>1816</v>
      </c>
      <c r="E138" s="62" t="s">
        <v>1796</v>
      </c>
      <c r="F138" s="61"/>
    </row>
    <row r="139" ht="22.5" customHeight="1">
      <c r="A139" s="61" t="s">
        <v>152</v>
      </c>
      <c r="B139" s="61" t="s">
        <v>1823</v>
      </c>
      <c r="C139" s="61">
        <v>2012.0</v>
      </c>
      <c r="D139" s="475" t="s">
        <v>1816</v>
      </c>
      <c r="E139" s="62" t="s">
        <v>1796</v>
      </c>
      <c r="F139" s="61"/>
    </row>
    <row r="140" ht="22.5" customHeight="1">
      <c r="A140" s="61" t="s">
        <v>152</v>
      </c>
      <c r="B140" s="61" t="s">
        <v>1823</v>
      </c>
      <c r="C140" s="61">
        <v>2013.0</v>
      </c>
      <c r="D140" s="475" t="s">
        <v>1816</v>
      </c>
      <c r="E140" s="62" t="s">
        <v>1793</v>
      </c>
      <c r="F140" s="61"/>
    </row>
    <row r="141" ht="22.5" customHeight="1">
      <c r="A141" s="61" t="s">
        <v>152</v>
      </c>
      <c r="B141" s="61" t="s">
        <v>1823</v>
      </c>
      <c r="C141" s="61">
        <v>2014.0</v>
      </c>
      <c r="D141" s="475" t="s">
        <v>1816</v>
      </c>
      <c r="E141" s="62" t="s">
        <v>1796</v>
      </c>
      <c r="F141" s="61"/>
    </row>
    <row r="142" ht="22.5" customHeight="1">
      <c r="A142" s="61" t="s">
        <v>152</v>
      </c>
      <c r="B142" s="61" t="s">
        <v>1794</v>
      </c>
      <c r="C142" s="61">
        <v>2015.0</v>
      </c>
      <c r="D142" s="475" t="s">
        <v>1816</v>
      </c>
      <c r="E142" s="62" t="s">
        <v>1796</v>
      </c>
      <c r="F142" s="61"/>
    </row>
    <row r="143" ht="22.5" customHeight="1">
      <c r="A143" s="61" t="s">
        <v>152</v>
      </c>
      <c r="B143" s="61" t="s">
        <v>1823</v>
      </c>
      <c r="C143" s="61">
        <v>2016.0</v>
      </c>
      <c r="D143" s="475" t="s">
        <v>1816</v>
      </c>
      <c r="E143" s="62" t="s">
        <v>1796</v>
      </c>
      <c r="F143" s="61"/>
    </row>
    <row r="144" ht="22.5" customHeight="1">
      <c r="A144" s="61" t="s">
        <v>152</v>
      </c>
      <c r="B144" s="61" t="s">
        <v>1823</v>
      </c>
      <c r="C144" s="61">
        <v>2017.0</v>
      </c>
      <c r="D144" s="475" t="s">
        <v>1816</v>
      </c>
      <c r="E144" s="62" t="s">
        <v>1796</v>
      </c>
      <c r="F144" s="61"/>
    </row>
    <row r="145" ht="22.5" customHeight="1">
      <c r="A145" s="61" t="s">
        <v>152</v>
      </c>
      <c r="B145" s="61" t="s">
        <v>1823</v>
      </c>
      <c r="C145" s="61">
        <v>2018.0</v>
      </c>
      <c r="D145" s="475" t="s">
        <v>1816</v>
      </c>
      <c r="E145" s="62" t="s">
        <v>1796</v>
      </c>
      <c r="F145" s="61"/>
    </row>
    <row r="146" ht="22.5" customHeight="1">
      <c r="A146" s="485" t="s">
        <v>152</v>
      </c>
      <c r="B146" s="485" t="s">
        <v>1823</v>
      </c>
      <c r="C146" s="485">
        <v>2019.0</v>
      </c>
      <c r="D146" s="486" t="s">
        <v>1816</v>
      </c>
      <c r="E146" s="160" t="s">
        <v>1796</v>
      </c>
      <c r="F146" s="61"/>
    </row>
    <row r="147" ht="22.5" customHeight="1">
      <c r="A147" s="485" t="s">
        <v>152</v>
      </c>
      <c r="B147" s="485" t="s">
        <v>1863</v>
      </c>
      <c r="C147" s="485">
        <v>2020.0</v>
      </c>
      <c r="D147" s="486" t="s">
        <v>1816</v>
      </c>
      <c r="E147" s="173" t="s">
        <v>1796</v>
      </c>
      <c r="F147" s="61"/>
    </row>
    <row r="148" ht="22.5" customHeight="1">
      <c r="A148" s="485" t="s">
        <v>152</v>
      </c>
      <c r="B148" s="485" t="s">
        <v>1864</v>
      </c>
      <c r="C148" s="485">
        <v>2020.0</v>
      </c>
      <c r="D148" s="486" t="s">
        <v>1816</v>
      </c>
      <c r="E148" s="160" t="s">
        <v>1793</v>
      </c>
      <c r="F148" s="61"/>
    </row>
    <row r="149" ht="22.5" customHeight="1">
      <c r="A149" s="485" t="s">
        <v>152</v>
      </c>
      <c r="B149" s="485" t="s">
        <v>1823</v>
      </c>
      <c r="C149" s="485">
        <v>2021.0</v>
      </c>
      <c r="D149" s="487" t="s">
        <v>1816</v>
      </c>
      <c r="E149" s="173" t="s">
        <v>1796</v>
      </c>
      <c r="F149" s="61"/>
    </row>
    <row r="150" ht="22.5" customHeight="1">
      <c r="A150" s="485" t="s">
        <v>152</v>
      </c>
      <c r="B150" s="485" t="s">
        <v>1823</v>
      </c>
      <c r="C150" s="485">
        <v>2022.0</v>
      </c>
      <c r="D150" s="487" t="s">
        <v>1816</v>
      </c>
      <c r="E150" s="62" t="s">
        <v>1796</v>
      </c>
      <c r="F150" s="61"/>
    </row>
    <row r="151" ht="22.5" customHeight="1">
      <c r="A151" s="485" t="s">
        <v>152</v>
      </c>
      <c r="B151" s="485" t="s">
        <v>1794</v>
      </c>
      <c r="C151" s="485">
        <v>2023.0</v>
      </c>
      <c r="D151" s="487" t="s">
        <v>1816</v>
      </c>
      <c r="E151" s="160" t="s">
        <v>1796</v>
      </c>
      <c r="F151" s="61"/>
    </row>
    <row r="152" ht="22.5" customHeight="1">
      <c r="A152" s="488" t="s">
        <v>152</v>
      </c>
      <c r="B152" s="485" t="s">
        <v>1794</v>
      </c>
      <c r="C152" s="488">
        <v>2024.0</v>
      </c>
      <c r="D152" s="486" t="s">
        <v>1816</v>
      </c>
      <c r="E152" s="173" t="s">
        <v>1793</v>
      </c>
      <c r="F152" s="61"/>
    </row>
    <row r="153" ht="22.5" customHeight="1">
      <c r="A153" s="485" t="s">
        <v>159</v>
      </c>
      <c r="B153" s="485" t="s">
        <v>1794</v>
      </c>
      <c r="C153" s="61">
        <v>1998.0</v>
      </c>
      <c r="D153" s="475" t="s">
        <v>1859</v>
      </c>
      <c r="E153" s="62" t="s">
        <v>1817</v>
      </c>
      <c r="F153" s="61"/>
    </row>
    <row r="154" ht="22.5" customHeight="1">
      <c r="A154" s="485" t="s">
        <v>159</v>
      </c>
      <c r="B154" s="485" t="s">
        <v>1794</v>
      </c>
      <c r="C154" s="61">
        <v>1999.0</v>
      </c>
      <c r="D154" s="475" t="s">
        <v>1859</v>
      </c>
      <c r="E154" s="62" t="s">
        <v>1817</v>
      </c>
      <c r="F154" s="61"/>
    </row>
    <row r="155" ht="22.5" customHeight="1">
      <c r="A155" s="485" t="s">
        <v>159</v>
      </c>
      <c r="B155" s="485" t="s">
        <v>1794</v>
      </c>
      <c r="C155" s="61">
        <v>2000.0</v>
      </c>
      <c r="D155" s="475" t="s">
        <v>1859</v>
      </c>
      <c r="E155" s="62" t="s">
        <v>1817</v>
      </c>
      <c r="F155" s="61"/>
    </row>
    <row r="156" ht="22.5" customHeight="1">
      <c r="A156" s="485" t="s">
        <v>159</v>
      </c>
      <c r="B156" s="485" t="s">
        <v>1794</v>
      </c>
      <c r="C156" s="61">
        <v>2001.0</v>
      </c>
      <c r="D156" s="475" t="s">
        <v>1859</v>
      </c>
      <c r="E156" s="62" t="s">
        <v>1817</v>
      </c>
      <c r="F156" s="61" t="s">
        <v>1865</v>
      </c>
    </row>
    <row r="157" ht="22.5" customHeight="1">
      <c r="A157" s="485" t="s">
        <v>159</v>
      </c>
      <c r="B157" s="485" t="s">
        <v>1794</v>
      </c>
      <c r="C157" s="61">
        <v>2002.0</v>
      </c>
      <c r="D157" s="475" t="s">
        <v>1859</v>
      </c>
      <c r="E157" s="62" t="s">
        <v>1817</v>
      </c>
      <c r="F157" s="61"/>
    </row>
    <row r="158" ht="22.5" customHeight="1">
      <c r="A158" s="485" t="s">
        <v>159</v>
      </c>
      <c r="B158" s="485" t="s">
        <v>1794</v>
      </c>
      <c r="C158" s="61">
        <v>2003.0</v>
      </c>
      <c r="D158" s="475" t="s">
        <v>1859</v>
      </c>
      <c r="E158" s="62" t="s">
        <v>1817</v>
      </c>
      <c r="F158" s="61"/>
    </row>
    <row r="159" ht="22.5" customHeight="1">
      <c r="A159" s="485" t="s">
        <v>159</v>
      </c>
      <c r="B159" s="485" t="s">
        <v>1794</v>
      </c>
      <c r="C159" s="61">
        <v>2004.0</v>
      </c>
      <c r="D159" s="475" t="s">
        <v>1859</v>
      </c>
      <c r="E159" s="62" t="s">
        <v>1817</v>
      </c>
      <c r="F159" s="61"/>
    </row>
    <row r="160" ht="22.5" customHeight="1">
      <c r="A160" s="485" t="s">
        <v>159</v>
      </c>
      <c r="B160" s="485" t="s">
        <v>1794</v>
      </c>
      <c r="C160" s="61">
        <v>2005.0</v>
      </c>
      <c r="D160" s="475" t="s">
        <v>1859</v>
      </c>
      <c r="E160" s="62" t="s">
        <v>1817</v>
      </c>
      <c r="F160" s="61"/>
    </row>
    <row r="161" ht="22.5" customHeight="1">
      <c r="A161" s="485" t="s">
        <v>159</v>
      </c>
      <c r="B161" s="485" t="s">
        <v>1794</v>
      </c>
      <c r="C161" s="61">
        <v>2006.0</v>
      </c>
      <c r="D161" s="475" t="s">
        <v>1859</v>
      </c>
      <c r="E161" s="62" t="s">
        <v>1817</v>
      </c>
      <c r="F161" s="61"/>
    </row>
    <row r="162" ht="22.5" customHeight="1">
      <c r="A162" s="485" t="s">
        <v>159</v>
      </c>
      <c r="B162" s="485" t="s">
        <v>1794</v>
      </c>
      <c r="C162" s="61">
        <v>2007.0</v>
      </c>
      <c r="D162" s="475" t="s">
        <v>1859</v>
      </c>
      <c r="E162" s="62" t="s">
        <v>1817</v>
      </c>
      <c r="F162" s="61"/>
    </row>
    <row r="163" ht="22.5" customHeight="1">
      <c r="A163" s="485" t="s">
        <v>159</v>
      </c>
      <c r="B163" s="485" t="s">
        <v>1794</v>
      </c>
      <c r="C163" s="61">
        <v>2008.0</v>
      </c>
      <c r="D163" s="475" t="s">
        <v>1859</v>
      </c>
      <c r="E163" s="62" t="s">
        <v>1817</v>
      </c>
      <c r="F163" s="61"/>
    </row>
    <row r="164" ht="22.5" customHeight="1">
      <c r="A164" s="485" t="s">
        <v>159</v>
      </c>
      <c r="B164" s="485" t="s">
        <v>1794</v>
      </c>
      <c r="C164" s="61">
        <v>2009.0</v>
      </c>
      <c r="D164" s="475" t="s">
        <v>1859</v>
      </c>
      <c r="E164" s="62" t="s">
        <v>1817</v>
      </c>
      <c r="F164" s="61"/>
    </row>
    <row r="165" ht="22.5" customHeight="1">
      <c r="A165" s="485" t="s">
        <v>159</v>
      </c>
      <c r="B165" s="485" t="s">
        <v>1794</v>
      </c>
      <c r="C165" s="61">
        <v>2010.0</v>
      </c>
      <c r="D165" s="475" t="s">
        <v>1859</v>
      </c>
      <c r="E165" s="62" t="s">
        <v>1817</v>
      </c>
      <c r="F165" s="61"/>
    </row>
    <row r="166" ht="22.5" customHeight="1">
      <c r="A166" s="485" t="s">
        <v>159</v>
      </c>
      <c r="B166" s="485" t="s">
        <v>1794</v>
      </c>
      <c r="C166" s="61">
        <v>2011.0</v>
      </c>
      <c r="D166" s="475" t="s">
        <v>1859</v>
      </c>
      <c r="E166" s="62" t="s">
        <v>1817</v>
      </c>
      <c r="F166" s="61"/>
    </row>
    <row r="167" ht="22.5" customHeight="1">
      <c r="A167" s="485" t="s">
        <v>159</v>
      </c>
      <c r="B167" s="485" t="s">
        <v>1794</v>
      </c>
      <c r="C167" s="61">
        <v>2012.0</v>
      </c>
      <c r="D167" s="475" t="s">
        <v>1859</v>
      </c>
      <c r="E167" s="62" t="s">
        <v>1817</v>
      </c>
      <c r="F167" s="61"/>
    </row>
    <row r="168" ht="22.5" customHeight="1">
      <c r="A168" s="485" t="s">
        <v>159</v>
      </c>
      <c r="B168" s="485" t="s">
        <v>1794</v>
      </c>
      <c r="C168" s="61">
        <v>2013.0</v>
      </c>
      <c r="D168" s="475" t="s">
        <v>1859</v>
      </c>
      <c r="E168" s="62" t="s">
        <v>1817</v>
      </c>
      <c r="F168" s="61"/>
    </row>
    <row r="169" ht="22.5" customHeight="1">
      <c r="A169" s="485" t="s">
        <v>159</v>
      </c>
      <c r="B169" s="485" t="s">
        <v>1794</v>
      </c>
      <c r="C169" s="61">
        <v>2014.0</v>
      </c>
      <c r="D169" s="475" t="s">
        <v>1859</v>
      </c>
      <c r="E169" s="62" t="s">
        <v>1817</v>
      </c>
      <c r="F169" s="61"/>
    </row>
    <row r="170" ht="22.5" customHeight="1">
      <c r="A170" s="485" t="s">
        <v>159</v>
      </c>
      <c r="B170" s="485" t="s">
        <v>1794</v>
      </c>
      <c r="C170" s="61">
        <v>2015.0</v>
      </c>
      <c r="D170" s="475" t="s">
        <v>1859</v>
      </c>
      <c r="E170" s="62" t="s">
        <v>1817</v>
      </c>
      <c r="F170" s="61"/>
    </row>
    <row r="171" ht="22.5" customHeight="1">
      <c r="A171" s="485" t="s">
        <v>159</v>
      </c>
      <c r="B171" s="485" t="s">
        <v>1823</v>
      </c>
      <c r="C171" s="485">
        <v>2016.0</v>
      </c>
      <c r="D171" s="487" t="s">
        <v>1816</v>
      </c>
      <c r="E171" s="160" t="s">
        <v>1793</v>
      </c>
      <c r="F171" s="61"/>
    </row>
    <row r="172" ht="22.5" customHeight="1">
      <c r="A172" s="488" t="s">
        <v>159</v>
      </c>
      <c r="B172" s="485" t="s">
        <v>1823</v>
      </c>
      <c r="C172" s="488">
        <v>2017.0</v>
      </c>
      <c r="D172" s="486" t="s">
        <v>1816</v>
      </c>
      <c r="E172" s="173" t="s">
        <v>1793</v>
      </c>
      <c r="F172" s="61"/>
    </row>
    <row r="173" ht="22.5" customHeight="1">
      <c r="A173" s="485" t="s">
        <v>159</v>
      </c>
      <c r="B173" s="485" t="s">
        <v>1823</v>
      </c>
      <c r="C173" s="485">
        <v>2018.0</v>
      </c>
      <c r="D173" s="487" t="s">
        <v>1859</v>
      </c>
      <c r="E173" s="160" t="s">
        <v>1793</v>
      </c>
      <c r="F173" s="61"/>
    </row>
    <row r="174" ht="22.5" customHeight="1">
      <c r="A174" s="488" t="s">
        <v>159</v>
      </c>
      <c r="B174" s="485" t="s">
        <v>1823</v>
      </c>
      <c r="C174" s="488">
        <v>2019.0</v>
      </c>
      <c r="D174" s="486" t="s">
        <v>1816</v>
      </c>
      <c r="E174" s="173" t="s">
        <v>1796</v>
      </c>
      <c r="F174" s="61"/>
    </row>
    <row r="175" ht="22.5" customHeight="1">
      <c r="A175" s="485" t="s">
        <v>159</v>
      </c>
      <c r="B175" s="485" t="s">
        <v>1794</v>
      </c>
      <c r="C175" s="485">
        <v>2020.0</v>
      </c>
      <c r="D175" s="487" t="s">
        <v>1816</v>
      </c>
      <c r="E175" s="160" t="s">
        <v>1796</v>
      </c>
      <c r="F175" s="61"/>
    </row>
    <row r="176" ht="22.5" customHeight="1">
      <c r="A176" s="488" t="s">
        <v>159</v>
      </c>
      <c r="B176" s="485" t="s">
        <v>1823</v>
      </c>
      <c r="C176" s="488">
        <v>2021.0</v>
      </c>
      <c r="D176" s="486" t="s">
        <v>1816</v>
      </c>
      <c r="E176" s="173" t="s">
        <v>1793</v>
      </c>
      <c r="F176" s="61"/>
    </row>
    <row r="177" ht="22.5" customHeight="1">
      <c r="A177" s="485" t="s">
        <v>159</v>
      </c>
      <c r="B177" s="485" t="s">
        <v>1823</v>
      </c>
      <c r="C177" s="485">
        <v>2022.0</v>
      </c>
      <c r="D177" s="487" t="s">
        <v>1816</v>
      </c>
      <c r="E177" s="160" t="s">
        <v>1796</v>
      </c>
      <c r="F177" s="61"/>
    </row>
    <row r="178" ht="22.5" customHeight="1">
      <c r="A178" s="488" t="s">
        <v>159</v>
      </c>
      <c r="B178" s="488" t="s">
        <v>1823</v>
      </c>
      <c r="C178" s="488">
        <v>2023.0</v>
      </c>
      <c r="D178" s="486" t="s">
        <v>1816</v>
      </c>
      <c r="E178" s="173" t="s">
        <v>1793</v>
      </c>
      <c r="F178" s="61"/>
    </row>
    <row r="179" ht="22.5" customHeight="1">
      <c r="A179" s="61" t="s">
        <v>159</v>
      </c>
      <c r="B179" s="61" t="s">
        <v>1823</v>
      </c>
      <c r="C179" s="61">
        <v>2024.0</v>
      </c>
      <c r="D179" s="475" t="s">
        <v>1816</v>
      </c>
      <c r="E179" s="62" t="s">
        <v>1796</v>
      </c>
      <c r="F179" s="61"/>
    </row>
    <row r="180" ht="22.5" customHeight="1">
      <c r="A180" s="61" t="s">
        <v>1866</v>
      </c>
      <c r="B180" s="61" t="s">
        <v>1823</v>
      </c>
      <c r="C180" s="473">
        <v>2004.0</v>
      </c>
      <c r="D180" s="481"/>
      <c r="E180" s="269" t="s">
        <v>1817</v>
      </c>
      <c r="F180" s="61" t="s">
        <v>1867</v>
      </c>
    </row>
    <row r="181" ht="22.5" customHeight="1">
      <c r="A181" s="61" t="s">
        <v>1866</v>
      </c>
      <c r="B181" s="61" t="s">
        <v>1823</v>
      </c>
      <c r="C181" s="473">
        <v>2005.0</v>
      </c>
      <c r="D181" s="481"/>
      <c r="E181" s="269" t="s">
        <v>1817</v>
      </c>
      <c r="F181" s="83"/>
    </row>
    <row r="182" ht="22.5" customHeight="1">
      <c r="A182" s="61" t="s">
        <v>1866</v>
      </c>
      <c r="B182" s="61" t="s">
        <v>1823</v>
      </c>
      <c r="C182" s="473">
        <v>2006.0</v>
      </c>
      <c r="D182" s="481"/>
      <c r="E182" s="269" t="s">
        <v>1817</v>
      </c>
      <c r="F182" s="83"/>
    </row>
    <row r="183" ht="22.5" customHeight="1">
      <c r="A183" s="61" t="s">
        <v>1866</v>
      </c>
      <c r="B183" s="61" t="s">
        <v>1823</v>
      </c>
      <c r="C183" s="473">
        <v>2007.0</v>
      </c>
      <c r="D183" s="481"/>
      <c r="E183" s="269" t="s">
        <v>1817</v>
      </c>
      <c r="F183" s="83"/>
    </row>
    <row r="184" ht="22.5" customHeight="1">
      <c r="A184" s="61" t="s">
        <v>1866</v>
      </c>
      <c r="B184" s="61" t="s">
        <v>1823</v>
      </c>
      <c r="C184" s="473">
        <v>2008.0</v>
      </c>
      <c r="D184" s="481"/>
      <c r="E184" s="269" t="s">
        <v>1817</v>
      </c>
      <c r="F184" s="83"/>
    </row>
    <row r="185" ht="22.5" customHeight="1">
      <c r="A185" s="61" t="s">
        <v>1866</v>
      </c>
      <c r="B185" s="61" t="s">
        <v>1823</v>
      </c>
      <c r="C185" s="473">
        <v>2009.0</v>
      </c>
      <c r="D185" s="481"/>
      <c r="E185" s="269" t="s">
        <v>1817</v>
      </c>
      <c r="F185" s="83"/>
    </row>
    <row r="186" ht="22.5" customHeight="1">
      <c r="A186" s="61" t="s">
        <v>1866</v>
      </c>
      <c r="B186" s="61" t="s">
        <v>1823</v>
      </c>
      <c r="C186" s="473">
        <v>2010.0</v>
      </c>
      <c r="D186" s="481"/>
      <c r="E186" s="269" t="s">
        <v>1817</v>
      </c>
      <c r="F186" s="83"/>
    </row>
    <row r="187" ht="22.5" customHeight="1">
      <c r="A187" s="61" t="s">
        <v>1866</v>
      </c>
      <c r="B187" s="61" t="s">
        <v>1823</v>
      </c>
      <c r="C187" s="473">
        <v>2011.0</v>
      </c>
      <c r="D187" s="481"/>
      <c r="E187" s="269" t="s">
        <v>1817</v>
      </c>
      <c r="F187" s="83"/>
    </row>
    <row r="188" ht="22.5" customHeight="1">
      <c r="A188" s="61" t="s">
        <v>1866</v>
      </c>
      <c r="B188" s="61" t="s">
        <v>1823</v>
      </c>
      <c r="C188" s="473">
        <v>2012.0</v>
      </c>
      <c r="D188" s="481"/>
      <c r="E188" s="269" t="s">
        <v>1817</v>
      </c>
      <c r="F188" s="83"/>
    </row>
    <row r="189" ht="22.5" customHeight="1">
      <c r="A189" s="61" t="s">
        <v>1866</v>
      </c>
      <c r="B189" s="61" t="s">
        <v>1823</v>
      </c>
      <c r="C189" s="473">
        <v>2013.0</v>
      </c>
      <c r="D189" s="481"/>
      <c r="E189" s="269" t="s">
        <v>1817</v>
      </c>
      <c r="F189" s="83"/>
    </row>
    <row r="190" ht="22.5" customHeight="1">
      <c r="A190" s="61" t="s">
        <v>1866</v>
      </c>
      <c r="B190" s="61" t="s">
        <v>1823</v>
      </c>
      <c r="C190" s="473">
        <v>2014.0</v>
      </c>
      <c r="D190" s="481"/>
      <c r="E190" s="269" t="s">
        <v>1817</v>
      </c>
      <c r="F190" s="83"/>
    </row>
    <row r="191" ht="22.5" customHeight="1">
      <c r="A191" s="61" t="s">
        <v>1866</v>
      </c>
      <c r="B191" s="61" t="s">
        <v>256</v>
      </c>
      <c r="C191" s="61">
        <v>2015.0</v>
      </c>
      <c r="D191" s="67" t="s">
        <v>1868</v>
      </c>
      <c r="E191" s="62" t="s">
        <v>1793</v>
      </c>
      <c r="F191" s="83"/>
    </row>
    <row r="192" ht="22.5" customHeight="1">
      <c r="A192" s="61" t="s">
        <v>1866</v>
      </c>
      <c r="B192" s="61" t="s">
        <v>1823</v>
      </c>
      <c r="C192" s="473">
        <v>2016.0</v>
      </c>
      <c r="D192" s="481"/>
      <c r="E192" s="269" t="s">
        <v>1817</v>
      </c>
      <c r="F192" s="83"/>
    </row>
    <row r="193" ht="22.5" customHeight="1">
      <c r="A193" s="61" t="s">
        <v>1866</v>
      </c>
      <c r="B193" s="61" t="s">
        <v>1216</v>
      </c>
      <c r="C193" s="61">
        <v>2017.0</v>
      </c>
      <c r="D193" s="67" t="s">
        <v>1869</v>
      </c>
      <c r="E193" s="62" t="s">
        <v>1793</v>
      </c>
      <c r="F193" s="83"/>
    </row>
    <row r="194" ht="22.5" customHeight="1">
      <c r="A194" s="61" t="s">
        <v>1866</v>
      </c>
      <c r="B194" s="61" t="s">
        <v>1823</v>
      </c>
      <c r="C194" s="473">
        <v>2018.0</v>
      </c>
      <c r="D194" s="481"/>
      <c r="E194" s="269" t="s">
        <v>1817</v>
      </c>
      <c r="F194" s="83"/>
    </row>
    <row r="195" ht="22.5" customHeight="1">
      <c r="A195" s="61" t="s">
        <v>1866</v>
      </c>
      <c r="B195" s="61" t="s">
        <v>1823</v>
      </c>
      <c r="C195" s="473">
        <v>2019.0</v>
      </c>
      <c r="D195" s="481"/>
      <c r="E195" s="269" t="s">
        <v>1817</v>
      </c>
      <c r="F195" s="83"/>
    </row>
    <row r="196" ht="22.5" customHeight="1">
      <c r="A196" s="61" t="s">
        <v>1866</v>
      </c>
      <c r="B196" s="61" t="s">
        <v>1823</v>
      </c>
      <c r="C196" s="473">
        <v>2020.0</v>
      </c>
      <c r="D196" s="481"/>
      <c r="E196" s="269" t="s">
        <v>1817</v>
      </c>
      <c r="F196" s="83"/>
    </row>
    <row r="197" ht="22.5" customHeight="1">
      <c r="A197" s="61" t="s">
        <v>1866</v>
      </c>
      <c r="B197" s="61" t="s">
        <v>1823</v>
      </c>
      <c r="C197" s="473">
        <v>2021.0</v>
      </c>
      <c r="D197" s="481"/>
      <c r="E197" s="269" t="s">
        <v>1793</v>
      </c>
      <c r="F197" s="83"/>
    </row>
    <row r="198" ht="22.5" customHeight="1">
      <c r="A198" s="61" t="s">
        <v>1866</v>
      </c>
      <c r="B198" s="61" t="s">
        <v>1823</v>
      </c>
      <c r="C198" s="473">
        <v>2022.0</v>
      </c>
      <c r="D198" s="481"/>
      <c r="E198" s="269" t="s">
        <v>1793</v>
      </c>
      <c r="F198" s="83"/>
    </row>
    <row r="199" ht="22.5" customHeight="1">
      <c r="A199" s="61" t="s">
        <v>1866</v>
      </c>
      <c r="B199" s="61" t="s">
        <v>1823</v>
      </c>
      <c r="C199" s="473">
        <v>2023.0</v>
      </c>
      <c r="D199" s="481"/>
      <c r="E199" s="269" t="s">
        <v>1793</v>
      </c>
      <c r="F199" s="83"/>
    </row>
    <row r="200" ht="22.5" customHeight="1">
      <c r="A200" s="61" t="s">
        <v>1866</v>
      </c>
      <c r="B200" s="61" t="s">
        <v>1120</v>
      </c>
      <c r="C200" s="61">
        <v>2024.0</v>
      </c>
      <c r="D200" s="67" t="s">
        <v>1870</v>
      </c>
      <c r="E200" s="62" t="s">
        <v>1793</v>
      </c>
      <c r="F200" s="83"/>
    </row>
    <row r="201" ht="22.5" customHeight="1">
      <c r="A201" s="479" t="s">
        <v>166</v>
      </c>
      <c r="B201" s="479" t="s">
        <v>1813</v>
      </c>
      <c r="C201" s="477">
        <v>2015.0</v>
      </c>
      <c r="D201" s="481"/>
      <c r="E201" s="269" t="s">
        <v>1817</v>
      </c>
      <c r="F201" s="61" t="s">
        <v>1871</v>
      </c>
    </row>
    <row r="202" ht="22.5" customHeight="1">
      <c r="A202" s="479" t="s">
        <v>166</v>
      </c>
      <c r="B202" s="479" t="s">
        <v>1813</v>
      </c>
      <c r="C202" s="480">
        <v>2016.0</v>
      </c>
      <c r="D202" s="481"/>
      <c r="E202" s="269" t="s">
        <v>1817</v>
      </c>
      <c r="F202" s="83"/>
    </row>
    <row r="203" ht="22.5" customHeight="1">
      <c r="A203" s="479" t="s">
        <v>166</v>
      </c>
      <c r="B203" s="479" t="s">
        <v>1813</v>
      </c>
      <c r="C203" s="477">
        <v>2017.0</v>
      </c>
      <c r="D203" s="481"/>
      <c r="E203" s="269" t="s">
        <v>1817</v>
      </c>
      <c r="F203" s="83"/>
    </row>
    <row r="204" ht="22.5" customHeight="1">
      <c r="A204" s="479" t="s">
        <v>166</v>
      </c>
      <c r="B204" s="479" t="s">
        <v>1813</v>
      </c>
      <c r="C204" s="480">
        <v>2018.0</v>
      </c>
      <c r="D204" s="481"/>
      <c r="E204" s="269" t="s">
        <v>1817</v>
      </c>
      <c r="F204" s="83"/>
    </row>
    <row r="205" ht="22.5" customHeight="1">
      <c r="A205" s="479" t="s">
        <v>166</v>
      </c>
      <c r="B205" s="479" t="s">
        <v>1813</v>
      </c>
      <c r="C205" s="477">
        <v>2019.0</v>
      </c>
      <c r="D205" s="481"/>
      <c r="E205" s="269" t="s">
        <v>1817</v>
      </c>
      <c r="F205" s="83"/>
    </row>
    <row r="206" ht="22.5" customHeight="1">
      <c r="A206" s="479" t="s">
        <v>166</v>
      </c>
      <c r="B206" s="479" t="s">
        <v>1813</v>
      </c>
      <c r="C206" s="480">
        <v>2020.0</v>
      </c>
      <c r="D206" s="481" t="s">
        <v>1872</v>
      </c>
      <c r="E206" s="266" t="s">
        <v>1793</v>
      </c>
      <c r="F206" s="83"/>
    </row>
    <row r="207" ht="22.5" customHeight="1">
      <c r="A207" s="476" t="s">
        <v>166</v>
      </c>
      <c r="B207" s="476" t="s">
        <v>1813</v>
      </c>
      <c r="C207" s="477">
        <v>2021.0</v>
      </c>
      <c r="D207" s="476" t="s">
        <v>1873</v>
      </c>
      <c r="E207" s="277" t="s">
        <v>1793</v>
      </c>
      <c r="F207" s="83"/>
    </row>
    <row r="208" ht="22.5" customHeight="1">
      <c r="A208" s="479" t="s">
        <v>166</v>
      </c>
      <c r="B208" s="479" t="s">
        <v>1813</v>
      </c>
      <c r="C208" s="480">
        <v>2022.0</v>
      </c>
      <c r="D208" s="481" t="s">
        <v>1280</v>
      </c>
      <c r="E208" s="266" t="s">
        <v>1793</v>
      </c>
      <c r="F208" s="83"/>
    </row>
    <row r="209" ht="22.5" customHeight="1">
      <c r="A209" s="476" t="s">
        <v>166</v>
      </c>
      <c r="B209" s="476" t="s">
        <v>1813</v>
      </c>
      <c r="C209" s="477">
        <v>2023.0</v>
      </c>
      <c r="D209" s="478" t="s">
        <v>1874</v>
      </c>
      <c r="E209" s="277" t="s">
        <v>1793</v>
      </c>
      <c r="F209" s="83"/>
    </row>
    <row r="210" ht="22.5" customHeight="1">
      <c r="A210" s="479" t="s">
        <v>166</v>
      </c>
      <c r="B210" s="479" t="s">
        <v>1794</v>
      </c>
      <c r="C210" s="480">
        <v>2024.0</v>
      </c>
      <c r="D210" s="481" t="s">
        <v>1875</v>
      </c>
      <c r="E210" s="266" t="s">
        <v>1793</v>
      </c>
      <c r="F210" s="83"/>
    </row>
    <row r="211" ht="22.5" customHeight="1">
      <c r="A211" s="61" t="s">
        <v>1339</v>
      </c>
      <c r="B211" s="61" t="s">
        <v>1813</v>
      </c>
      <c r="C211" s="61">
        <v>2016.0</v>
      </c>
      <c r="D211" s="64" t="s">
        <v>1342</v>
      </c>
      <c r="E211" s="62" t="s">
        <v>1793</v>
      </c>
      <c r="F211" s="83"/>
    </row>
    <row r="212" ht="22.5" customHeight="1">
      <c r="A212" s="61" t="s">
        <v>1339</v>
      </c>
      <c r="B212" s="61" t="s">
        <v>1858</v>
      </c>
      <c r="C212" s="61">
        <v>2017.0</v>
      </c>
      <c r="D212" s="64" t="s">
        <v>1352</v>
      </c>
      <c r="E212" s="62" t="s">
        <v>1793</v>
      </c>
      <c r="F212" s="61" t="s">
        <v>1876</v>
      </c>
    </row>
    <row r="213" ht="22.5" customHeight="1">
      <c r="A213" s="61" t="s">
        <v>1339</v>
      </c>
      <c r="B213" s="61" t="s">
        <v>1858</v>
      </c>
      <c r="C213" s="61">
        <v>2018.0</v>
      </c>
      <c r="D213" s="64" t="s">
        <v>1357</v>
      </c>
      <c r="E213" s="62" t="s">
        <v>1793</v>
      </c>
      <c r="F213" s="61"/>
    </row>
    <row r="214" ht="22.5" customHeight="1">
      <c r="A214" s="61" t="s">
        <v>1339</v>
      </c>
      <c r="B214" s="61" t="s">
        <v>1858</v>
      </c>
      <c r="C214" s="61">
        <v>2019.0</v>
      </c>
      <c r="D214" s="64" t="s">
        <v>1362</v>
      </c>
      <c r="E214" s="62" t="s">
        <v>1793</v>
      </c>
      <c r="F214" s="61"/>
    </row>
    <row r="215" ht="22.5" customHeight="1">
      <c r="A215" s="61" t="s">
        <v>1339</v>
      </c>
      <c r="B215" s="61" t="s">
        <v>1813</v>
      </c>
      <c r="C215" s="61">
        <v>2020.0</v>
      </c>
      <c r="D215" s="64" t="s">
        <v>1346</v>
      </c>
      <c r="E215" s="62" t="s">
        <v>1793</v>
      </c>
      <c r="F215" s="61"/>
    </row>
    <row r="216" ht="22.5" customHeight="1">
      <c r="A216" s="61" t="s">
        <v>1339</v>
      </c>
      <c r="B216" s="61" t="s">
        <v>1813</v>
      </c>
      <c r="C216" s="61">
        <v>2021.0</v>
      </c>
      <c r="D216" s="64" t="s">
        <v>1387</v>
      </c>
      <c r="E216" s="62" t="s">
        <v>1793</v>
      </c>
      <c r="F216" s="61"/>
    </row>
    <row r="217" ht="22.5" customHeight="1">
      <c r="A217" s="61" t="s">
        <v>1339</v>
      </c>
      <c r="B217" s="61" t="s">
        <v>1813</v>
      </c>
      <c r="C217" s="61">
        <v>2022.0</v>
      </c>
      <c r="D217" s="64" t="s">
        <v>1397</v>
      </c>
      <c r="E217" s="62" t="s">
        <v>1793</v>
      </c>
      <c r="F217" s="61"/>
    </row>
    <row r="218" ht="22.5" customHeight="1">
      <c r="A218" s="61" t="s">
        <v>1339</v>
      </c>
      <c r="B218" s="61" t="s">
        <v>1813</v>
      </c>
      <c r="C218" s="61">
        <v>2023.0</v>
      </c>
      <c r="D218" s="64" t="s">
        <v>1404</v>
      </c>
      <c r="E218" s="62" t="s">
        <v>1793</v>
      </c>
      <c r="F218" s="61"/>
    </row>
    <row r="219" ht="22.5" customHeight="1">
      <c r="A219" s="61" t="s">
        <v>1339</v>
      </c>
      <c r="B219" s="61" t="s">
        <v>1858</v>
      </c>
      <c r="C219" s="61">
        <v>2024.0</v>
      </c>
      <c r="D219" s="64" t="s">
        <v>1414</v>
      </c>
      <c r="E219" s="62" t="s">
        <v>1793</v>
      </c>
      <c r="F219" s="61"/>
    </row>
    <row r="220" ht="22.5" customHeight="1">
      <c r="A220" s="479" t="s">
        <v>1449</v>
      </c>
      <c r="B220" s="479" t="s">
        <v>1813</v>
      </c>
      <c r="C220" s="480">
        <v>2021.0</v>
      </c>
      <c r="D220" s="481" t="s">
        <v>1387</v>
      </c>
      <c r="E220" s="266" t="s">
        <v>1793</v>
      </c>
      <c r="F220" s="83"/>
    </row>
    <row r="221" ht="22.5" customHeight="1">
      <c r="A221" s="476" t="s">
        <v>1449</v>
      </c>
      <c r="B221" s="476" t="s">
        <v>1813</v>
      </c>
      <c r="C221" s="477">
        <v>2022.0</v>
      </c>
      <c r="D221" s="478" t="s">
        <v>1457</v>
      </c>
      <c r="E221" s="277" t="s">
        <v>1793</v>
      </c>
      <c r="F221" s="83"/>
    </row>
    <row r="222" ht="22.5" customHeight="1">
      <c r="A222" s="479" t="s">
        <v>1449</v>
      </c>
      <c r="B222" s="479" t="s">
        <v>1813</v>
      </c>
      <c r="C222" s="480">
        <v>2023.0</v>
      </c>
      <c r="D222" s="481" t="s">
        <v>1451</v>
      </c>
      <c r="E222" s="266" t="s">
        <v>1793</v>
      </c>
      <c r="F222" s="83"/>
    </row>
    <row r="223" ht="22.5" customHeight="1">
      <c r="A223" s="476" t="s">
        <v>1449</v>
      </c>
      <c r="B223" s="476" t="s">
        <v>1813</v>
      </c>
      <c r="C223" s="477">
        <v>2024.0</v>
      </c>
      <c r="D223" s="478" t="s">
        <v>1464</v>
      </c>
      <c r="E223" s="277" t="s">
        <v>1793</v>
      </c>
      <c r="F223" s="83"/>
    </row>
    <row r="224" ht="22.5" customHeight="1">
      <c r="A224" s="472" t="s">
        <v>1449</v>
      </c>
      <c r="B224" s="472" t="s">
        <v>1877</v>
      </c>
      <c r="C224" s="473">
        <v>2024.0</v>
      </c>
      <c r="D224" s="478" t="s">
        <v>1519</v>
      </c>
      <c r="E224" s="269" t="s">
        <v>1793</v>
      </c>
      <c r="F224" s="83"/>
    </row>
    <row r="225" ht="22.5" customHeight="1">
      <c r="A225" s="61" t="s">
        <v>199</v>
      </c>
      <c r="B225" s="61" t="s">
        <v>1878</v>
      </c>
      <c r="C225" s="61">
        <v>2014.0</v>
      </c>
      <c r="D225" s="64" t="s">
        <v>1879</v>
      </c>
      <c r="E225" s="62" t="s">
        <v>1793</v>
      </c>
      <c r="F225" s="61"/>
    </row>
    <row r="226" ht="22.5" customHeight="1">
      <c r="A226" s="61" t="s">
        <v>199</v>
      </c>
      <c r="B226" s="61" t="s">
        <v>1823</v>
      </c>
      <c r="C226" s="61">
        <v>2015.0</v>
      </c>
      <c r="D226" s="76" t="s">
        <v>1880</v>
      </c>
      <c r="E226" s="62" t="s">
        <v>1793</v>
      </c>
      <c r="F226" s="61"/>
    </row>
    <row r="227" ht="22.5" customHeight="1">
      <c r="A227" s="61" t="s">
        <v>199</v>
      </c>
      <c r="B227" s="61" t="s">
        <v>1823</v>
      </c>
      <c r="C227" s="61">
        <v>2016.0</v>
      </c>
      <c r="D227" s="76" t="s">
        <v>1528</v>
      </c>
      <c r="E227" s="62" t="s">
        <v>1793</v>
      </c>
      <c r="F227" s="61"/>
    </row>
    <row r="228" ht="22.5" customHeight="1">
      <c r="A228" s="61" t="s">
        <v>199</v>
      </c>
      <c r="B228" s="61" t="s">
        <v>1823</v>
      </c>
      <c r="C228" s="61">
        <v>2017.0</v>
      </c>
      <c r="D228" s="76" t="s">
        <v>1881</v>
      </c>
      <c r="E228" s="62" t="s">
        <v>1793</v>
      </c>
      <c r="F228" s="61"/>
    </row>
    <row r="229" ht="22.5" customHeight="1">
      <c r="A229" s="61" t="s">
        <v>199</v>
      </c>
      <c r="B229" s="61" t="s">
        <v>1823</v>
      </c>
      <c r="C229" s="61">
        <v>2018.0</v>
      </c>
      <c r="D229" s="64" t="s">
        <v>1882</v>
      </c>
      <c r="E229" s="62" t="s">
        <v>1793</v>
      </c>
      <c r="F229" s="61"/>
    </row>
    <row r="230" ht="22.5" customHeight="1">
      <c r="A230" s="61" t="s">
        <v>199</v>
      </c>
      <c r="B230" s="61" t="s">
        <v>1823</v>
      </c>
      <c r="C230" s="61">
        <v>2019.0</v>
      </c>
      <c r="D230" s="64" t="s">
        <v>1556</v>
      </c>
      <c r="E230" s="62" t="s">
        <v>1793</v>
      </c>
      <c r="F230" s="61"/>
    </row>
    <row r="231" ht="22.5" customHeight="1">
      <c r="A231" s="61" t="s">
        <v>199</v>
      </c>
      <c r="B231" s="61" t="s">
        <v>1823</v>
      </c>
      <c r="C231" s="61">
        <v>2020.0</v>
      </c>
      <c r="D231" s="475" t="s">
        <v>1535</v>
      </c>
      <c r="E231" s="62" t="s">
        <v>1793</v>
      </c>
      <c r="F231" s="61"/>
    </row>
    <row r="232" ht="22.5" customHeight="1">
      <c r="A232" s="61" t="s">
        <v>199</v>
      </c>
      <c r="B232" s="61" t="s">
        <v>1883</v>
      </c>
      <c r="C232" s="61">
        <v>2021.0</v>
      </c>
      <c r="D232" s="64" t="s">
        <v>1884</v>
      </c>
      <c r="E232" s="62" t="s">
        <v>1796</v>
      </c>
      <c r="F232" s="61"/>
    </row>
    <row r="233" ht="22.5" customHeight="1">
      <c r="A233" s="61" t="s">
        <v>199</v>
      </c>
      <c r="B233" s="61" t="s">
        <v>1885</v>
      </c>
      <c r="C233" s="61">
        <v>2021.0</v>
      </c>
      <c r="D233" s="475" t="s">
        <v>1886</v>
      </c>
      <c r="E233" s="62" t="s">
        <v>1796</v>
      </c>
      <c r="F233" s="61"/>
    </row>
    <row r="234" ht="22.5" customHeight="1">
      <c r="A234" s="53" t="s">
        <v>199</v>
      </c>
      <c r="B234" s="53" t="s">
        <v>1823</v>
      </c>
      <c r="C234" s="53">
        <v>2022.0</v>
      </c>
      <c r="D234" s="76" t="s">
        <v>1887</v>
      </c>
      <c r="E234" s="90" t="s">
        <v>1793</v>
      </c>
    </row>
    <row r="235" ht="22.5" customHeight="1">
      <c r="A235" s="53" t="s">
        <v>199</v>
      </c>
      <c r="B235" s="53" t="s">
        <v>1823</v>
      </c>
      <c r="C235" s="53">
        <v>2023.0</v>
      </c>
      <c r="D235" s="76" t="s">
        <v>1888</v>
      </c>
      <c r="E235" s="90" t="s">
        <v>1793</v>
      </c>
    </row>
    <row r="236" ht="22.5" customHeight="1">
      <c r="A236" s="61" t="s">
        <v>199</v>
      </c>
      <c r="B236" s="61" t="s">
        <v>1889</v>
      </c>
      <c r="C236" s="61">
        <v>2023.0</v>
      </c>
      <c r="D236" s="475" t="s">
        <v>1890</v>
      </c>
      <c r="E236" s="62" t="s">
        <v>1793</v>
      </c>
      <c r="F236" s="61"/>
    </row>
    <row r="237" ht="22.5" customHeight="1">
      <c r="A237" s="61" t="s">
        <v>199</v>
      </c>
      <c r="B237" s="61" t="s">
        <v>1891</v>
      </c>
      <c r="C237" s="61">
        <v>2023.0</v>
      </c>
      <c r="D237" s="76" t="s">
        <v>1892</v>
      </c>
      <c r="E237" s="62" t="s">
        <v>1793</v>
      </c>
      <c r="F237" s="61"/>
    </row>
    <row r="238" ht="22.5" customHeight="1">
      <c r="A238" s="53" t="s">
        <v>199</v>
      </c>
      <c r="B238" s="53" t="s">
        <v>1823</v>
      </c>
      <c r="C238" s="53">
        <v>2024.0</v>
      </c>
      <c r="D238" s="86" t="s">
        <v>1552</v>
      </c>
      <c r="E238" s="90" t="s">
        <v>1793</v>
      </c>
    </row>
    <row r="239" ht="22.5" customHeight="1">
      <c r="A239" s="53" t="s">
        <v>199</v>
      </c>
      <c r="B239" s="53" t="s">
        <v>1893</v>
      </c>
      <c r="C239" s="53">
        <v>2024.0</v>
      </c>
      <c r="D239" s="76" t="s">
        <v>1894</v>
      </c>
      <c r="E239" s="90" t="s">
        <v>1793</v>
      </c>
    </row>
    <row r="240" ht="22.5" customHeight="1">
      <c r="A240" s="61" t="s">
        <v>199</v>
      </c>
      <c r="B240" s="61" t="s">
        <v>1895</v>
      </c>
      <c r="C240" s="61"/>
      <c r="D240" s="471" t="s">
        <v>1896</v>
      </c>
      <c r="E240" s="62" t="s">
        <v>1817</v>
      </c>
      <c r="F240" s="61"/>
    </row>
    <row r="241" ht="22.5" customHeight="1">
      <c r="A241" s="61" t="s">
        <v>199</v>
      </c>
      <c r="B241" s="61" t="s">
        <v>1883</v>
      </c>
      <c r="C241" s="61"/>
      <c r="D241" s="489" t="s">
        <v>1897</v>
      </c>
      <c r="E241" s="62" t="s">
        <v>1796</v>
      </c>
      <c r="F241" s="61"/>
    </row>
    <row r="242" ht="22.5" customHeight="1">
      <c r="A242" s="61" t="s">
        <v>1898</v>
      </c>
      <c r="B242" s="61" t="s">
        <v>1899</v>
      </c>
      <c r="C242" s="61">
        <v>2000.0</v>
      </c>
      <c r="D242" s="76" t="s">
        <v>1900</v>
      </c>
      <c r="E242" s="62" t="s">
        <v>1793</v>
      </c>
      <c r="F242" s="64" t="s">
        <v>1901</v>
      </c>
    </row>
    <row r="243" ht="22.5" customHeight="1">
      <c r="A243" s="61" t="s">
        <v>1898</v>
      </c>
      <c r="B243" s="61" t="s">
        <v>1813</v>
      </c>
      <c r="C243" s="61">
        <v>2003.0</v>
      </c>
      <c r="D243" s="76" t="s">
        <v>1900</v>
      </c>
      <c r="E243" s="62" t="s">
        <v>1793</v>
      </c>
      <c r="F243" s="64" t="s">
        <v>1902</v>
      </c>
    </row>
    <row r="244" ht="22.5" customHeight="1">
      <c r="A244" s="61" t="s">
        <v>1898</v>
      </c>
      <c r="B244" s="61" t="s">
        <v>1813</v>
      </c>
      <c r="C244" s="61">
        <v>2004.0</v>
      </c>
      <c r="D244" s="76" t="s">
        <v>1900</v>
      </c>
      <c r="E244" s="62" t="s">
        <v>1793</v>
      </c>
      <c r="F244" s="64" t="s">
        <v>1903</v>
      </c>
    </row>
    <row r="245" ht="22.5" customHeight="1">
      <c r="A245" s="61" t="s">
        <v>1898</v>
      </c>
      <c r="B245" s="61" t="s">
        <v>1813</v>
      </c>
      <c r="C245" s="61">
        <v>2006.0</v>
      </c>
      <c r="D245" s="76" t="s">
        <v>1900</v>
      </c>
      <c r="E245" s="62" t="s">
        <v>1793</v>
      </c>
      <c r="F245" s="64" t="s">
        <v>1904</v>
      </c>
    </row>
    <row r="246" ht="22.5" customHeight="1">
      <c r="A246" s="61" t="s">
        <v>1898</v>
      </c>
      <c r="B246" s="61" t="s">
        <v>1858</v>
      </c>
      <c r="C246" s="61">
        <v>2006.0</v>
      </c>
      <c r="D246" s="76" t="s">
        <v>1900</v>
      </c>
      <c r="E246" s="62" t="s">
        <v>1793</v>
      </c>
      <c r="F246" s="64" t="s">
        <v>1905</v>
      </c>
    </row>
    <row r="247" ht="22.5" customHeight="1">
      <c r="A247" s="61" t="s">
        <v>1898</v>
      </c>
      <c r="B247" s="61" t="s">
        <v>1858</v>
      </c>
      <c r="C247" s="61">
        <v>2009.0</v>
      </c>
      <c r="D247" s="76" t="s">
        <v>1900</v>
      </c>
      <c r="E247" s="62" t="s">
        <v>1796</v>
      </c>
      <c r="F247" s="61"/>
    </row>
    <row r="248" ht="22.5" customHeight="1">
      <c r="A248" s="61" t="s">
        <v>1898</v>
      </c>
      <c r="B248" s="61" t="s">
        <v>1858</v>
      </c>
      <c r="C248" s="61">
        <v>2010.0</v>
      </c>
      <c r="D248" s="76" t="s">
        <v>1900</v>
      </c>
      <c r="E248" s="62" t="s">
        <v>1793</v>
      </c>
      <c r="F248" s="64" t="s">
        <v>1906</v>
      </c>
    </row>
    <row r="249" ht="22.5" customHeight="1">
      <c r="A249" s="61" t="s">
        <v>1898</v>
      </c>
      <c r="B249" s="61" t="s">
        <v>1907</v>
      </c>
      <c r="C249" s="61">
        <v>2012.0</v>
      </c>
      <c r="D249" s="76" t="s">
        <v>1900</v>
      </c>
      <c r="E249" s="62" t="s">
        <v>1793</v>
      </c>
      <c r="F249" s="64" t="s">
        <v>1908</v>
      </c>
    </row>
    <row r="250" ht="22.5" customHeight="1">
      <c r="A250" s="61" t="s">
        <v>1898</v>
      </c>
      <c r="B250" s="61" t="s">
        <v>1858</v>
      </c>
      <c r="C250" s="61">
        <v>2013.0</v>
      </c>
      <c r="D250" s="76" t="s">
        <v>1900</v>
      </c>
      <c r="E250" s="62" t="s">
        <v>1793</v>
      </c>
      <c r="F250" s="64" t="s">
        <v>1909</v>
      </c>
    </row>
    <row r="251" ht="22.5" customHeight="1">
      <c r="A251" s="61" t="s">
        <v>1898</v>
      </c>
      <c r="B251" s="61" t="s">
        <v>1858</v>
      </c>
      <c r="C251" s="61">
        <v>2014.0</v>
      </c>
      <c r="D251" s="76" t="s">
        <v>1900</v>
      </c>
      <c r="E251" s="62" t="s">
        <v>1793</v>
      </c>
      <c r="F251" s="64" t="s">
        <v>1910</v>
      </c>
    </row>
    <row r="252" ht="22.5" customHeight="1">
      <c r="A252" s="61" t="s">
        <v>1898</v>
      </c>
      <c r="B252" s="61" t="s">
        <v>1858</v>
      </c>
      <c r="C252" s="61">
        <v>2015.0</v>
      </c>
      <c r="D252" s="76" t="s">
        <v>1900</v>
      </c>
      <c r="E252" s="62" t="s">
        <v>1793</v>
      </c>
      <c r="F252" s="64" t="s">
        <v>1911</v>
      </c>
    </row>
    <row r="253" ht="22.5" customHeight="1">
      <c r="A253" s="61" t="s">
        <v>1898</v>
      </c>
      <c r="B253" s="61" t="s">
        <v>1858</v>
      </c>
      <c r="C253" s="61">
        <v>2016.0</v>
      </c>
      <c r="D253" s="76" t="s">
        <v>1900</v>
      </c>
      <c r="E253" s="62" t="s">
        <v>1793</v>
      </c>
      <c r="F253" s="64" t="s">
        <v>1912</v>
      </c>
    </row>
    <row r="254" ht="22.5" customHeight="1">
      <c r="A254" s="61" t="s">
        <v>1898</v>
      </c>
      <c r="B254" s="61" t="s">
        <v>1813</v>
      </c>
      <c r="C254" s="61">
        <v>2017.0</v>
      </c>
      <c r="D254" s="76" t="s">
        <v>1900</v>
      </c>
      <c r="E254" s="62" t="s">
        <v>1793</v>
      </c>
      <c r="F254" s="61" t="s">
        <v>1913</v>
      </c>
    </row>
    <row r="255" ht="22.5" customHeight="1">
      <c r="A255" s="61" t="s">
        <v>1898</v>
      </c>
      <c r="B255" s="61" t="s">
        <v>1858</v>
      </c>
      <c r="C255" s="61">
        <v>2017.0</v>
      </c>
      <c r="D255" s="76" t="s">
        <v>1900</v>
      </c>
      <c r="E255" s="62" t="s">
        <v>1793</v>
      </c>
      <c r="F255" s="64" t="s">
        <v>1914</v>
      </c>
    </row>
    <row r="256" ht="22.5" customHeight="1">
      <c r="A256" s="61" t="s">
        <v>1898</v>
      </c>
      <c r="B256" s="61" t="s">
        <v>1813</v>
      </c>
      <c r="C256" s="61">
        <v>2018.0</v>
      </c>
      <c r="D256" s="76" t="s">
        <v>1900</v>
      </c>
      <c r="E256" s="62" t="s">
        <v>1793</v>
      </c>
      <c r="F256" s="61" t="s">
        <v>1913</v>
      </c>
    </row>
    <row r="257" ht="22.5" customHeight="1">
      <c r="A257" s="61" t="s">
        <v>1898</v>
      </c>
      <c r="B257" s="61" t="s">
        <v>1858</v>
      </c>
      <c r="C257" s="61">
        <v>2018.0</v>
      </c>
      <c r="D257" s="76" t="s">
        <v>1900</v>
      </c>
      <c r="E257" s="62" t="s">
        <v>1793</v>
      </c>
      <c r="F257" s="64" t="s">
        <v>1915</v>
      </c>
    </row>
    <row r="258" ht="22.5" customHeight="1">
      <c r="A258" s="61" t="s">
        <v>1898</v>
      </c>
      <c r="B258" s="61" t="s">
        <v>1813</v>
      </c>
      <c r="C258" s="61">
        <v>2019.0</v>
      </c>
      <c r="D258" s="76" t="s">
        <v>1900</v>
      </c>
      <c r="E258" s="62" t="s">
        <v>1793</v>
      </c>
      <c r="F258" s="61" t="s">
        <v>1913</v>
      </c>
    </row>
    <row r="259" ht="22.5" customHeight="1">
      <c r="A259" s="61" t="s">
        <v>1898</v>
      </c>
      <c r="B259" s="61" t="s">
        <v>1858</v>
      </c>
      <c r="C259" s="61">
        <v>2019.0</v>
      </c>
      <c r="D259" s="76" t="s">
        <v>1900</v>
      </c>
      <c r="E259" s="62" t="s">
        <v>1793</v>
      </c>
      <c r="F259" s="64" t="s">
        <v>1916</v>
      </c>
    </row>
    <row r="260" ht="22.5" customHeight="1">
      <c r="A260" s="61" t="s">
        <v>1898</v>
      </c>
      <c r="B260" s="61" t="s">
        <v>1813</v>
      </c>
      <c r="C260" s="61">
        <v>2020.0</v>
      </c>
      <c r="D260" s="76" t="s">
        <v>1900</v>
      </c>
      <c r="E260" s="62" t="s">
        <v>1793</v>
      </c>
      <c r="F260" s="61" t="s">
        <v>1913</v>
      </c>
    </row>
    <row r="261" ht="22.5" customHeight="1">
      <c r="A261" s="61" t="s">
        <v>1898</v>
      </c>
      <c r="B261" s="61" t="s">
        <v>1858</v>
      </c>
      <c r="C261" s="61">
        <v>2020.0</v>
      </c>
      <c r="D261" s="76" t="s">
        <v>1900</v>
      </c>
      <c r="E261" s="62" t="s">
        <v>1793</v>
      </c>
      <c r="F261" s="64" t="s">
        <v>1917</v>
      </c>
    </row>
    <row r="262" ht="22.5" customHeight="1">
      <c r="A262" s="61" t="s">
        <v>1898</v>
      </c>
      <c r="B262" s="61" t="s">
        <v>1858</v>
      </c>
      <c r="C262" s="61">
        <v>2021.0</v>
      </c>
      <c r="D262" s="76" t="s">
        <v>1900</v>
      </c>
      <c r="E262" s="62" t="s">
        <v>1793</v>
      </c>
      <c r="F262" s="61" t="s">
        <v>1913</v>
      </c>
    </row>
    <row r="263" ht="22.5" customHeight="1">
      <c r="A263" s="61" t="s">
        <v>1898</v>
      </c>
      <c r="B263" s="61" t="s">
        <v>1813</v>
      </c>
      <c r="C263" s="61">
        <v>2021.0</v>
      </c>
      <c r="D263" s="76" t="s">
        <v>1900</v>
      </c>
      <c r="E263" s="62" t="s">
        <v>1793</v>
      </c>
      <c r="F263" s="64" t="s">
        <v>1918</v>
      </c>
    </row>
    <row r="264" ht="22.5" customHeight="1">
      <c r="A264" s="61" t="s">
        <v>1898</v>
      </c>
      <c r="B264" s="61" t="s">
        <v>1813</v>
      </c>
      <c r="C264" s="61">
        <v>2022.0</v>
      </c>
      <c r="D264" s="76" t="s">
        <v>1900</v>
      </c>
      <c r="E264" s="62" t="s">
        <v>1793</v>
      </c>
      <c r="F264" s="61" t="s">
        <v>1913</v>
      </c>
    </row>
    <row r="265" ht="22.5" customHeight="1">
      <c r="A265" s="61" t="s">
        <v>1898</v>
      </c>
      <c r="B265" s="61" t="s">
        <v>1858</v>
      </c>
      <c r="C265" s="61">
        <v>2022.0</v>
      </c>
      <c r="D265" s="76" t="s">
        <v>1900</v>
      </c>
      <c r="E265" s="62" t="s">
        <v>1793</v>
      </c>
      <c r="F265" s="64" t="s">
        <v>1919</v>
      </c>
    </row>
    <row r="266" ht="22.5" customHeight="1">
      <c r="A266" s="61" t="s">
        <v>1898</v>
      </c>
      <c r="B266" s="61" t="s">
        <v>1858</v>
      </c>
      <c r="C266" s="61">
        <v>2023.0</v>
      </c>
      <c r="D266" s="76" t="s">
        <v>1900</v>
      </c>
      <c r="E266" s="62" t="s">
        <v>1793</v>
      </c>
      <c r="F266" s="61" t="s">
        <v>1913</v>
      </c>
    </row>
    <row r="267" ht="22.5" customHeight="1">
      <c r="A267" s="61" t="s">
        <v>1898</v>
      </c>
      <c r="B267" s="61" t="s">
        <v>1813</v>
      </c>
      <c r="C267" s="61">
        <v>2023.0</v>
      </c>
      <c r="D267" s="76" t="s">
        <v>1900</v>
      </c>
      <c r="E267" s="62" t="s">
        <v>1793</v>
      </c>
      <c r="F267" s="64" t="s">
        <v>1920</v>
      </c>
    </row>
    <row r="268" ht="22.5" customHeight="1">
      <c r="A268" s="61" t="s">
        <v>1898</v>
      </c>
      <c r="B268" s="61" t="s">
        <v>1858</v>
      </c>
      <c r="C268" s="61">
        <v>2024.0</v>
      </c>
      <c r="D268" s="76" t="s">
        <v>1900</v>
      </c>
      <c r="E268" s="62" t="s">
        <v>1793</v>
      </c>
      <c r="F268" s="76" t="s">
        <v>1921</v>
      </c>
    </row>
    <row r="269" ht="22.5" customHeight="1">
      <c r="A269" s="61" t="s">
        <v>1898</v>
      </c>
      <c r="B269" s="61" t="s">
        <v>1922</v>
      </c>
      <c r="C269" s="61">
        <v>2024.0</v>
      </c>
      <c r="D269" s="76" t="s">
        <v>1900</v>
      </c>
      <c r="E269" s="62" t="s">
        <v>1793</v>
      </c>
      <c r="F269" s="64" t="s">
        <v>1923</v>
      </c>
    </row>
    <row r="270" ht="22.5" customHeight="1">
      <c r="A270" s="61" t="s">
        <v>188</v>
      </c>
      <c r="B270" s="61" t="s">
        <v>1813</v>
      </c>
      <c r="C270" s="61">
        <v>2015.0</v>
      </c>
      <c r="D270" s="67" t="s">
        <v>1924</v>
      </c>
      <c r="E270" s="62" t="s">
        <v>1796</v>
      </c>
      <c r="F270" s="83"/>
    </row>
    <row r="271" ht="22.5" customHeight="1">
      <c r="A271" s="61" t="s">
        <v>188</v>
      </c>
      <c r="B271" s="61" t="s">
        <v>1813</v>
      </c>
      <c r="C271" s="61">
        <v>2016.0</v>
      </c>
      <c r="D271" s="64" t="s">
        <v>1925</v>
      </c>
      <c r="E271" s="62" t="s">
        <v>1796</v>
      </c>
      <c r="F271" s="83"/>
    </row>
    <row r="272" ht="22.5" customHeight="1">
      <c r="A272" s="61" t="s">
        <v>188</v>
      </c>
      <c r="B272" s="61" t="s">
        <v>1813</v>
      </c>
      <c r="C272" s="61">
        <v>2017.0</v>
      </c>
      <c r="D272" s="64" t="s">
        <v>1926</v>
      </c>
      <c r="E272" s="62" t="s">
        <v>1796</v>
      </c>
      <c r="F272" s="83"/>
    </row>
    <row r="273" ht="22.5" customHeight="1">
      <c r="A273" s="61" t="s">
        <v>188</v>
      </c>
      <c r="B273" s="61" t="s">
        <v>1813</v>
      </c>
      <c r="C273" s="61">
        <v>2018.0</v>
      </c>
      <c r="D273" s="64" t="s">
        <v>1927</v>
      </c>
      <c r="E273" s="62" t="s">
        <v>1796</v>
      </c>
      <c r="F273" s="83"/>
    </row>
    <row r="274" ht="22.5" customHeight="1">
      <c r="A274" s="61" t="s">
        <v>188</v>
      </c>
      <c r="B274" s="61" t="s">
        <v>1813</v>
      </c>
      <c r="C274" s="61">
        <v>2019.0</v>
      </c>
      <c r="D274" s="64" t="s">
        <v>1928</v>
      </c>
      <c r="E274" s="62" t="s">
        <v>1796</v>
      </c>
      <c r="F274" s="83"/>
    </row>
    <row r="275" ht="22.5" customHeight="1">
      <c r="A275" s="61" t="s">
        <v>188</v>
      </c>
      <c r="B275" s="61" t="s">
        <v>1858</v>
      </c>
      <c r="C275" s="61">
        <v>2020.0</v>
      </c>
      <c r="D275" s="64" t="s">
        <v>1709</v>
      </c>
      <c r="E275" s="62" t="s">
        <v>1793</v>
      </c>
      <c r="F275" s="83"/>
    </row>
    <row r="276" ht="22.5" customHeight="1">
      <c r="A276" s="61" t="s">
        <v>188</v>
      </c>
      <c r="B276" s="61" t="s">
        <v>1858</v>
      </c>
      <c r="C276" s="61">
        <v>2021.0</v>
      </c>
      <c r="D276" s="64" t="s">
        <v>1929</v>
      </c>
      <c r="E276" s="62" t="s">
        <v>1793</v>
      </c>
      <c r="F276" s="83"/>
    </row>
    <row r="277" ht="22.5" customHeight="1">
      <c r="A277" s="61" t="s">
        <v>188</v>
      </c>
      <c r="B277" s="61" t="s">
        <v>1858</v>
      </c>
      <c r="C277" s="61">
        <v>2022.0</v>
      </c>
      <c r="D277" s="64" t="s">
        <v>1930</v>
      </c>
      <c r="E277" s="62" t="s">
        <v>1793</v>
      </c>
      <c r="F277" s="83"/>
    </row>
    <row r="278" ht="22.5" customHeight="1">
      <c r="A278" s="61" t="s">
        <v>188</v>
      </c>
      <c r="B278" s="61" t="s">
        <v>1858</v>
      </c>
      <c r="C278" s="61">
        <v>2023.0</v>
      </c>
      <c r="D278" s="64" t="s">
        <v>1734</v>
      </c>
      <c r="E278" s="62" t="s">
        <v>1793</v>
      </c>
      <c r="F278" s="83"/>
    </row>
    <row r="279" ht="22.5" customHeight="1">
      <c r="A279" s="61" t="s">
        <v>188</v>
      </c>
      <c r="B279" s="61" t="s">
        <v>1858</v>
      </c>
      <c r="C279" s="61">
        <v>2024.0</v>
      </c>
      <c r="D279" s="64" t="s">
        <v>189</v>
      </c>
      <c r="E279" s="62" t="s">
        <v>1793</v>
      </c>
      <c r="F279" s="83"/>
    </row>
    <row r="280" ht="22.5" customHeight="1">
      <c r="A280" s="61" t="s">
        <v>193</v>
      </c>
      <c r="B280" s="61" t="s">
        <v>1858</v>
      </c>
      <c r="C280" s="61">
        <v>2014.0</v>
      </c>
      <c r="D280" s="64" t="s">
        <v>1931</v>
      </c>
      <c r="E280" s="62" t="s">
        <v>1796</v>
      </c>
      <c r="F280" s="83"/>
    </row>
    <row r="281" ht="22.5" customHeight="1">
      <c r="A281" s="61" t="s">
        <v>193</v>
      </c>
      <c r="B281" s="61" t="s">
        <v>1858</v>
      </c>
      <c r="C281" s="61">
        <v>2015.0</v>
      </c>
      <c r="D281" s="64" t="s">
        <v>1931</v>
      </c>
      <c r="E281" s="62" t="s">
        <v>1796</v>
      </c>
      <c r="F281" s="61" t="s">
        <v>1932</v>
      </c>
    </row>
    <row r="282" ht="22.5" customHeight="1">
      <c r="A282" s="61" t="s">
        <v>193</v>
      </c>
      <c r="B282" s="61" t="s">
        <v>1858</v>
      </c>
      <c r="C282" s="61">
        <v>2016.0</v>
      </c>
      <c r="D282" s="64" t="s">
        <v>1931</v>
      </c>
      <c r="E282" s="62" t="s">
        <v>1796</v>
      </c>
      <c r="F282" s="83"/>
    </row>
    <row r="283" ht="22.5" customHeight="1">
      <c r="A283" s="61" t="s">
        <v>193</v>
      </c>
      <c r="B283" s="61" t="s">
        <v>1858</v>
      </c>
      <c r="C283" s="61">
        <v>2017.0</v>
      </c>
      <c r="D283" s="64" t="s">
        <v>1931</v>
      </c>
      <c r="E283" s="62" t="s">
        <v>1793</v>
      </c>
      <c r="F283" s="83"/>
    </row>
    <row r="284" ht="22.5" customHeight="1">
      <c r="A284" s="61" t="s">
        <v>193</v>
      </c>
      <c r="B284" s="61" t="s">
        <v>1858</v>
      </c>
      <c r="C284" s="61">
        <v>2018.0</v>
      </c>
      <c r="D284" s="64" t="s">
        <v>1931</v>
      </c>
      <c r="E284" s="62" t="s">
        <v>1796</v>
      </c>
      <c r="F284" s="83"/>
    </row>
    <row r="285" ht="22.5" customHeight="1">
      <c r="A285" s="61" t="s">
        <v>193</v>
      </c>
      <c r="B285" s="61" t="s">
        <v>1858</v>
      </c>
      <c r="C285" s="61">
        <v>2019.0</v>
      </c>
      <c r="D285" s="64" t="s">
        <v>1931</v>
      </c>
      <c r="E285" s="62" t="s">
        <v>1793</v>
      </c>
      <c r="F285" s="83"/>
    </row>
    <row r="286" ht="22.5" customHeight="1">
      <c r="A286" s="61" t="s">
        <v>193</v>
      </c>
      <c r="B286" s="61" t="s">
        <v>1858</v>
      </c>
      <c r="C286" s="61">
        <v>2020.0</v>
      </c>
      <c r="D286" s="64" t="s">
        <v>1931</v>
      </c>
      <c r="E286" s="62" t="s">
        <v>1796</v>
      </c>
      <c r="F286" s="83"/>
    </row>
    <row r="287" ht="22.5" customHeight="1">
      <c r="A287" s="61" t="s">
        <v>193</v>
      </c>
      <c r="B287" s="61" t="s">
        <v>1933</v>
      </c>
      <c r="C287" s="61">
        <v>2020.0</v>
      </c>
      <c r="D287" s="64" t="s">
        <v>1934</v>
      </c>
      <c r="E287" s="62" t="s">
        <v>1793</v>
      </c>
      <c r="F287" s="83"/>
    </row>
    <row r="288" ht="22.5" customHeight="1">
      <c r="A288" s="61" t="s">
        <v>193</v>
      </c>
      <c r="B288" s="61" t="s">
        <v>1858</v>
      </c>
      <c r="C288" s="61">
        <v>2021.0</v>
      </c>
      <c r="D288" s="64" t="s">
        <v>1931</v>
      </c>
      <c r="E288" s="62" t="s">
        <v>1796</v>
      </c>
      <c r="F288" s="83"/>
    </row>
    <row r="289" ht="22.5" customHeight="1">
      <c r="A289" s="61" t="s">
        <v>193</v>
      </c>
      <c r="B289" s="61" t="s">
        <v>1933</v>
      </c>
      <c r="C289" s="61">
        <v>2021.0</v>
      </c>
      <c r="D289" s="64" t="s">
        <v>1934</v>
      </c>
      <c r="E289" s="62" t="s">
        <v>1793</v>
      </c>
      <c r="F289" s="83"/>
    </row>
    <row r="290" ht="22.5" customHeight="1">
      <c r="A290" s="61" t="s">
        <v>193</v>
      </c>
      <c r="B290" s="61" t="s">
        <v>1858</v>
      </c>
      <c r="C290" s="61">
        <v>2022.0</v>
      </c>
      <c r="D290" s="64" t="s">
        <v>1931</v>
      </c>
      <c r="E290" s="62" t="s">
        <v>1796</v>
      </c>
      <c r="F290" s="83"/>
    </row>
    <row r="291" ht="22.5" customHeight="1">
      <c r="A291" s="61" t="s">
        <v>193</v>
      </c>
      <c r="B291" s="61" t="s">
        <v>1933</v>
      </c>
      <c r="C291" s="61">
        <v>2022.0</v>
      </c>
      <c r="D291" s="64" t="s">
        <v>1934</v>
      </c>
      <c r="E291" s="62" t="s">
        <v>1796</v>
      </c>
      <c r="F291" s="83"/>
    </row>
    <row r="292" ht="22.5" customHeight="1">
      <c r="A292" s="61" t="s">
        <v>193</v>
      </c>
      <c r="B292" s="61" t="s">
        <v>1858</v>
      </c>
      <c r="C292" s="61">
        <v>2023.0</v>
      </c>
      <c r="D292" s="64" t="s">
        <v>1931</v>
      </c>
      <c r="E292" s="62" t="s">
        <v>1796</v>
      </c>
      <c r="F292" s="83"/>
    </row>
    <row r="293" ht="22.5" customHeight="1">
      <c r="A293" s="61" t="s">
        <v>193</v>
      </c>
      <c r="B293" s="61" t="s">
        <v>1933</v>
      </c>
      <c r="C293" s="61">
        <v>2023.0</v>
      </c>
      <c r="D293" s="64" t="s">
        <v>1934</v>
      </c>
      <c r="E293" s="62" t="s">
        <v>1793</v>
      </c>
      <c r="F293" s="83"/>
    </row>
    <row r="294" ht="22.5" customHeight="1">
      <c r="A294" s="61" t="s">
        <v>193</v>
      </c>
      <c r="B294" s="61" t="s">
        <v>1858</v>
      </c>
      <c r="C294" s="61">
        <v>2024.0</v>
      </c>
      <c r="D294" s="64" t="s">
        <v>1931</v>
      </c>
      <c r="E294" s="62" t="s">
        <v>1796</v>
      </c>
      <c r="F294" s="83"/>
    </row>
    <row r="295" ht="22.5" customHeight="1">
      <c r="A295" s="61" t="s">
        <v>193</v>
      </c>
      <c r="B295" s="61" t="s">
        <v>1935</v>
      </c>
      <c r="C295" s="61">
        <v>2024.0</v>
      </c>
      <c r="D295" s="64" t="s">
        <v>1934</v>
      </c>
      <c r="E295" s="62" t="s">
        <v>1793</v>
      </c>
      <c r="F295" s="83"/>
    </row>
  </sheetData>
  <dataValidations>
    <dataValidation type="list" allowBlank="1" sqref="E4:E295">
      <formula1>"Not checked,Checked, pledges found,Checked, no pledges found"</formula1>
    </dataValidation>
  </dataValidations>
  <hyperlinks>
    <hyperlink r:id="rId1" ref="D4"/>
    <hyperlink r:id="rId2" ref="D5"/>
    <hyperlink r:id="rId3" ref="D6"/>
    <hyperlink r:id="rId4" ref="D7"/>
    <hyperlink r:id="rId5" ref="D8"/>
    <hyperlink r:id="rId6" ref="D9"/>
    <hyperlink r:id="rId7" ref="D10"/>
    <hyperlink r:id="rId8" ref="D12"/>
    <hyperlink r:id="rId9" ref="D13"/>
    <hyperlink r:id="rId10" ref="D15"/>
    <hyperlink r:id="rId11" ref="D17"/>
    <hyperlink r:id="rId12" ref="D18"/>
    <hyperlink r:id="rId13" ref="D20"/>
    <hyperlink r:id="rId14" ref="D21"/>
    <hyperlink r:id="rId15" ref="D23"/>
    <hyperlink r:id="rId16" ref="D24"/>
    <hyperlink r:id="rId17" ref="D25"/>
    <hyperlink r:id="rId18" ref="D26"/>
    <hyperlink r:id="rId19" ref="D28"/>
    <hyperlink r:id="rId20" ref="D30"/>
    <hyperlink r:id="rId21" ref="D32"/>
    <hyperlink r:id="rId22" ref="D34"/>
    <hyperlink r:id="rId23" ref="D36"/>
    <hyperlink r:id="rId24" ref="D38"/>
    <hyperlink r:id="rId25" ref="D40"/>
    <hyperlink r:id="rId26" ref="D44"/>
    <hyperlink r:id="rId27" ref="D45"/>
    <hyperlink r:id="rId28" ref="D46"/>
    <hyperlink r:id="rId29" ref="D47"/>
    <hyperlink r:id="rId30" ref="D48"/>
    <hyperlink r:id="rId31" ref="D49"/>
    <hyperlink r:id="rId32" ref="D50"/>
    <hyperlink r:id="rId33" ref="D51"/>
    <hyperlink r:id="rId34" ref="D52"/>
    <hyperlink r:id="rId35" ref="D53"/>
    <hyperlink r:id="rId36" ref="D54"/>
    <hyperlink r:id="rId37" ref="D55"/>
    <hyperlink r:id="rId38" ref="D56"/>
    <hyperlink r:id="rId39" ref="D57"/>
    <hyperlink r:id="rId40" ref="D58"/>
    <hyperlink r:id="rId41" ref="D59"/>
    <hyperlink r:id="rId42" ref="D60"/>
    <hyperlink r:id="rId43" ref="D61"/>
    <hyperlink r:id="rId44" ref="D62"/>
    <hyperlink r:id="rId45" ref="D63"/>
    <hyperlink r:id="rId46" ref="D64"/>
    <hyperlink r:id="rId47" ref="D65"/>
    <hyperlink r:id="rId48" ref="D66"/>
    <hyperlink r:id="rId49" ref="D67"/>
    <hyperlink r:id="rId50" ref="D68"/>
    <hyperlink r:id="rId51" ref="D69"/>
    <hyperlink r:id="rId52" ref="D70"/>
    <hyperlink r:id="rId53" ref="D71"/>
    <hyperlink r:id="rId54" ref="D72"/>
    <hyperlink r:id="rId55" ref="D73"/>
    <hyperlink r:id="rId56" ref="D74"/>
    <hyperlink r:id="rId57" ref="D75"/>
    <hyperlink r:id="rId58" ref="D76"/>
    <hyperlink r:id="rId59" ref="D77"/>
    <hyperlink r:id="rId60" ref="D78"/>
    <hyperlink r:id="rId61" ref="D79"/>
    <hyperlink r:id="rId62" ref="D80"/>
    <hyperlink r:id="rId63" ref="D81"/>
    <hyperlink r:id="rId64" ref="D82"/>
    <hyperlink r:id="rId65" ref="D83"/>
    <hyperlink r:id="rId66" ref="D84"/>
    <hyperlink r:id="rId67" ref="D85"/>
    <hyperlink r:id="rId68" ref="D86"/>
    <hyperlink r:id="rId69" ref="D87"/>
    <hyperlink r:id="rId70" ref="D88"/>
    <hyperlink r:id="rId71" ref="D89"/>
    <hyperlink r:id="rId72" ref="D90"/>
    <hyperlink r:id="rId73" ref="D91"/>
    <hyperlink r:id="rId74" ref="D92"/>
    <hyperlink r:id="rId75" ref="D93"/>
    <hyperlink r:id="rId76" ref="D94"/>
    <hyperlink r:id="rId77" ref="D95"/>
    <hyperlink r:id="rId78" ref="D96"/>
    <hyperlink r:id="rId79" ref="D97"/>
    <hyperlink r:id="rId80" ref="D98"/>
    <hyperlink r:id="rId81" ref="D99"/>
    <hyperlink r:id="rId82" ref="D100"/>
    <hyperlink r:id="rId83" ref="D101"/>
    <hyperlink r:id="rId84" ref="D102"/>
    <hyperlink r:id="rId85" ref="D103"/>
    <hyperlink r:id="rId86" ref="D104"/>
    <hyperlink r:id="rId87" ref="D105"/>
    <hyperlink r:id="rId88" ref="D106"/>
    <hyperlink r:id="rId89" ref="D107"/>
    <hyperlink r:id="rId90" ref="D108"/>
    <hyperlink r:id="rId91" ref="D109"/>
    <hyperlink r:id="rId92" ref="D110"/>
    <hyperlink r:id="rId93" ref="D111"/>
    <hyperlink r:id="rId94" ref="D112"/>
    <hyperlink r:id="rId95" ref="D113"/>
    <hyperlink r:id="rId96" ref="D114"/>
    <hyperlink r:id="rId97" ref="D115"/>
    <hyperlink r:id="rId98" ref="D116"/>
    <hyperlink r:id="rId99" ref="D117"/>
    <hyperlink r:id="rId100" ref="D118"/>
    <hyperlink r:id="rId101" ref="D119"/>
    <hyperlink r:id="rId102" ref="D120"/>
    <hyperlink r:id="rId103" ref="D121"/>
    <hyperlink r:id="rId104" ref="D122"/>
    <hyperlink r:id="rId105" ref="D123"/>
    <hyperlink r:id="rId106" ref="D124"/>
    <hyperlink r:id="rId107" ref="D125"/>
    <hyperlink r:id="rId108" ref="D126"/>
    <hyperlink r:id="rId109" ref="D127"/>
    <hyperlink r:id="rId110" ref="D128"/>
    <hyperlink r:id="rId111" ref="D129"/>
    <hyperlink r:id="rId112" ref="D130"/>
    <hyperlink r:id="rId113" ref="D131"/>
    <hyperlink r:id="rId114" ref="D132"/>
    <hyperlink r:id="rId115" ref="D133"/>
    <hyperlink r:id="rId116" ref="D134"/>
    <hyperlink r:id="rId117" ref="D135"/>
    <hyperlink r:id="rId118" ref="D136"/>
    <hyperlink r:id="rId119" ref="D137"/>
    <hyperlink r:id="rId120" ref="D138"/>
    <hyperlink r:id="rId121" ref="D139"/>
    <hyperlink r:id="rId122" ref="D140"/>
    <hyperlink r:id="rId123" ref="D141"/>
    <hyperlink r:id="rId124" ref="D142"/>
    <hyperlink r:id="rId125" ref="D143"/>
    <hyperlink r:id="rId126" ref="D144"/>
    <hyperlink r:id="rId127" ref="D145"/>
    <hyperlink r:id="rId128" ref="D146"/>
    <hyperlink r:id="rId129" ref="D147"/>
    <hyperlink r:id="rId130" ref="D148"/>
    <hyperlink r:id="rId131" ref="D149"/>
    <hyperlink r:id="rId132" ref="D150"/>
    <hyperlink r:id="rId133" ref="D151"/>
    <hyperlink r:id="rId134" ref="D152"/>
    <hyperlink r:id="rId135" ref="D153"/>
    <hyperlink r:id="rId136" ref="D154"/>
    <hyperlink r:id="rId137" ref="D155"/>
    <hyperlink r:id="rId138" ref="D156"/>
    <hyperlink r:id="rId139" ref="D157"/>
    <hyperlink r:id="rId140" ref="D158"/>
    <hyperlink r:id="rId141" ref="D159"/>
    <hyperlink r:id="rId142" ref="D160"/>
    <hyperlink r:id="rId143" ref="D161"/>
    <hyperlink r:id="rId144" ref="D162"/>
    <hyperlink r:id="rId145" ref="D163"/>
    <hyperlink r:id="rId146" ref="D164"/>
    <hyperlink r:id="rId147" ref="D165"/>
    <hyperlink r:id="rId148" ref="D166"/>
    <hyperlink r:id="rId149" ref="D167"/>
    <hyperlink r:id="rId150" ref="D168"/>
    <hyperlink r:id="rId151" ref="D169"/>
    <hyperlink r:id="rId152" ref="D170"/>
    <hyperlink r:id="rId153" ref="D171"/>
    <hyperlink r:id="rId154" ref="D172"/>
    <hyperlink r:id="rId155" ref="D173"/>
    <hyperlink r:id="rId156" ref="D174"/>
    <hyperlink r:id="rId157" ref="D175"/>
    <hyperlink r:id="rId158" ref="D176"/>
    <hyperlink r:id="rId159" ref="D177"/>
    <hyperlink r:id="rId160" ref="D178"/>
    <hyperlink r:id="rId161" ref="D179"/>
    <hyperlink r:id="rId162" ref="D191"/>
    <hyperlink r:id="rId163" ref="D193"/>
    <hyperlink r:id="rId164" ref="D200"/>
    <hyperlink r:id="rId165" ref="D208"/>
    <hyperlink r:id="rId166" ref="D209"/>
    <hyperlink r:id="rId167" location="page=58" ref="D210"/>
    <hyperlink r:id="rId168" ref="D211"/>
    <hyperlink r:id="rId169" ref="D212"/>
    <hyperlink r:id="rId170" ref="D213"/>
    <hyperlink r:id="rId171" ref="D214"/>
    <hyperlink r:id="rId172" ref="D215"/>
    <hyperlink r:id="rId173" ref="D216"/>
    <hyperlink r:id="rId174" ref="D217"/>
    <hyperlink r:id="rId175" ref="D218"/>
    <hyperlink r:id="rId176" ref="D219"/>
    <hyperlink r:id="rId177" ref="D220"/>
    <hyperlink r:id="rId178" ref="D221"/>
    <hyperlink r:id="rId179" ref="D222"/>
    <hyperlink r:id="rId180" ref="D223"/>
    <hyperlink r:id="rId181" ref="D224"/>
    <hyperlink r:id="rId182" ref="D225"/>
    <hyperlink r:id="rId183" ref="D226"/>
    <hyperlink r:id="rId184" ref="D227"/>
    <hyperlink r:id="rId185" ref="D228"/>
    <hyperlink r:id="rId186" ref="D229"/>
    <hyperlink r:id="rId187" ref="D230"/>
    <hyperlink r:id="rId188" ref="D231"/>
    <hyperlink r:id="rId189" ref="D232"/>
    <hyperlink r:id="rId190" ref="D233"/>
    <hyperlink r:id="rId191" ref="D234"/>
    <hyperlink r:id="rId192" ref="D235"/>
    <hyperlink r:id="rId193" ref="D236"/>
    <hyperlink r:id="rId194" ref="D237"/>
    <hyperlink r:id="rId195" ref="D238"/>
    <hyperlink r:id="rId196" ref="D239"/>
    <hyperlink r:id="rId197" ref="D241"/>
    <hyperlink r:id="rId198" ref="D242"/>
    <hyperlink r:id="rId199" ref="F242"/>
    <hyperlink r:id="rId200" ref="D243"/>
    <hyperlink r:id="rId201" ref="F243"/>
    <hyperlink r:id="rId202" ref="D244"/>
    <hyperlink r:id="rId203" ref="F244"/>
    <hyperlink r:id="rId204" ref="D245"/>
    <hyperlink r:id="rId205" ref="F245"/>
    <hyperlink r:id="rId206" ref="D246"/>
    <hyperlink r:id="rId207" ref="F246"/>
    <hyperlink r:id="rId208" ref="D247"/>
    <hyperlink r:id="rId209" ref="D248"/>
    <hyperlink r:id="rId210" ref="F248"/>
    <hyperlink r:id="rId211" ref="D249"/>
    <hyperlink r:id="rId212" ref="F249"/>
    <hyperlink r:id="rId213" ref="D250"/>
    <hyperlink r:id="rId214" ref="F250"/>
    <hyperlink r:id="rId215" ref="D251"/>
    <hyperlink r:id="rId216" ref="F251"/>
    <hyperlink r:id="rId217" ref="D252"/>
    <hyperlink r:id="rId218" ref="F252"/>
    <hyperlink r:id="rId219" ref="D253"/>
    <hyperlink r:id="rId220" ref="F253"/>
    <hyperlink r:id="rId221" ref="D254"/>
    <hyperlink r:id="rId222" ref="D255"/>
    <hyperlink r:id="rId223" ref="F255"/>
    <hyperlink r:id="rId224" ref="D256"/>
    <hyperlink r:id="rId225" ref="D257"/>
    <hyperlink r:id="rId226" ref="F257"/>
    <hyperlink r:id="rId227" ref="D258"/>
    <hyperlink r:id="rId228" ref="D259"/>
    <hyperlink r:id="rId229" ref="F259"/>
    <hyperlink r:id="rId230" ref="D260"/>
    <hyperlink r:id="rId231" ref="D261"/>
    <hyperlink r:id="rId232" ref="F261"/>
    <hyperlink r:id="rId233" ref="D262"/>
    <hyperlink r:id="rId234" ref="D263"/>
    <hyperlink r:id="rId235" ref="F263"/>
    <hyperlink r:id="rId236" ref="D264"/>
    <hyperlink r:id="rId237" ref="D265"/>
    <hyperlink r:id="rId238" ref="F265"/>
    <hyperlink r:id="rId239" ref="D266"/>
    <hyperlink r:id="rId240" ref="D267"/>
    <hyperlink r:id="rId241" ref="F267"/>
    <hyperlink r:id="rId242" ref="D268"/>
    <hyperlink r:id="rId243" ref="F268"/>
    <hyperlink r:id="rId244" ref="D269"/>
    <hyperlink r:id="rId245" ref="F269"/>
    <hyperlink r:id="rId246" ref="D270"/>
    <hyperlink r:id="rId247" ref="D271"/>
    <hyperlink r:id="rId248" ref="D272"/>
    <hyperlink r:id="rId249" ref="D273"/>
    <hyperlink r:id="rId250" ref="D274"/>
    <hyperlink r:id="rId251" ref="D275"/>
    <hyperlink r:id="rId252" ref="D276"/>
    <hyperlink r:id="rId253" ref="D277"/>
    <hyperlink r:id="rId254" ref="D278"/>
    <hyperlink r:id="rId255" ref="D279"/>
    <hyperlink r:id="rId256" ref="D280"/>
    <hyperlink r:id="rId257" ref="D281"/>
    <hyperlink r:id="rId258" ref="D282"/>
    <hyperlink r:id="rId259" ref="D283"/>
    <hyperlink r:id="rId260" ref="D284"/>
    <hyperlink r:id="rId261" ref="D285"/>
    <hyperlink r:id="rId262" ref="D286"/>
    <hyperlink r:id="rId263" ref="D287"/>
    <hyperlink r:id="rId264" ref="D288"/>
    <hyperlink r:id="rId265" ref="D289"/>
    <hyperlink r:id="rId266" ref="D290"/>
    <hyperlink r:id="rId267" ref="D291"/>
    <hyperlink r:id="rId268" ref="D292"/>
    <hyperlink r:id="rId269" ref="D293"/>
    <hyperlink r:id="rId270" ref="D294"/>
    <hyperlink r:id="rId271" ref="D295"/>
  </hyperlinks>
  <drawing r:id="rId272"/>
  <tableParts count="1">
    <tablePart r:id="rId27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490" t="s">
        <v>1936</v>
      </c>
      <c r="B1" s="491"/>
      <c r="C1" s="491"/>
      <c r="D1" s="491"/>
      <c r="E1" s="492"/>
      <c r="F1" s="490" t="s">
        <v>1937</v>
      </c>
      <c r="G1" s="5"/>
      <c r="I1" s="490" t="s">
        <v>1938</v>
      </c>
      <c r="J1" s="4"/>
      <c r="K1" s="4"/>
      <c r="L1" s="4"/>
      <c r="M1" s="5"/>
    </row>
    <row r="2">
      <c r="A2" s="101"/>
      <c r="E2" s="101"/>
      <c r="F2" s="101"/>
      <c r="G2" s="493"/>
      <c r="I2" s="101"/>
      <c r="M2" s="493"/>
    </row>
    <row r="3">
      <c r="D3" s="19" t="s">
        <v>1941</v>
      </c>
      <c r="E3" s="101"/>
      <c r="F3" s="101" t="s">
        <v>1789</v>
      </c>
      <c r="G3" s="493" t="s">
        <v>1942</v>
      </c>
    </row>
    <row r="4">
      <c r="E4" s="101"/>
      <c r="F4" s="101" t="s">
        <v>1817</v>
      </c>
      <c r="G4" s="493">
        <v>60.0</v>
      </c>
    </row>
    <row r="5">
      <c r="D5" s="496">
        <f t="shared" ref="D5:D7" si="1">B5/SUM($B$5:$B$7)</f>
        <v>0.4978723404</v>
      </c>
      <c r="E5" s="101"/>
      <c r="F5" s="101" t="s">
        <v>1796</v>
      </c>
      <c r="G5" s="493">
        <v>76.0</v>
      </c>
    </row>
    <row r="6">
      <c r="D6" s="496">
        <f t="shared" si="1"/>
        <v>0.3404255319</v>
      </c>
      <c r="E6" s="101"/>
      <c r="F6" s="101" t="s">
        <v>1793</v>
      </c>
      <c r="G6" s="493">
        <v>152.0</v>
      </c>
    </row>
    <row r="7">
      <c r="D7" s="496">
        <f t="shared" si="1"/>
        <v>0.1617021277</v>
      </c>
      <c r="E7" s="101"/>
      <c r="F7" s="101" t="s">
        <v>1944</v>
      </c>
      <c r="G7" s="493">
        <v>288.0</v>
      </c>
    </row>
    <row r="8">
      <c r="D8" s="499"/>
      <c r="E8" s="101"/>
      <c r="F8" s="501" t="s">
        <v>1945</v>
      </c>
      <c r="G8" s="502">
        <f>G5+G6</f>
        <v>228</v>
      </c>
      <c r="AL8" s="496"/>
    </row>
    <row r="9"/>
    <row r="10"/>
    <row r="11">
      <c r="A11" s="490" t="s">
        <v>1946</v>
      </c>
      <c r="B11" s="4"/>
      <c r="C11" s="4"/>
      <c r="D11" s="4"/>
      <c r="E11" s="4"/>
      <c r="F11" s="5"/>
      <c r="H11" s="42"/>
    </row>
    <row r="12">
      <c r="A12" s="101"/>
      <c r="F12" s="493"/>
    </row>
    <row r="13">
      <c r="H13" s="42"/>
    </row>
    <row r="14">
      <c r="H14" s="42"/>
    </row>
    <row r="15">
      <c r="H15" s="42"/>
    </row>
    <row r="16">
      <c r="H16" s="42"/>
    </row>
    <row r="17"/>
    <row r="18"/>
    <row r="19"/>
    <row r="20"/>
    <row r="21"/>
    <row r="22"/>
    <row r="23">
      <c r="K23" s="42"/>
      <c r="L23" s="42"/>
      <c r="M23" s="42"/>
      <c r="N23" s="42"/>
      <c r="O23" s="42"/>
    </row>
    <row r="24">
      <c r="L24" s="42"/>
      <c r="M24" s="42"/>
      <c r="N24" s="42"/>
      <c r="O24" s="42"/>
    </row>
    <row r="25">
      <c r="L25" s="42"/>
      <c r="M25" s="42"/>
      <c r="N25" s="42"/>
      <c r="O25" s="42"/>
      <c r="V25" s="496"/>
      <c r="AB25" s="496"/>
    </row>
    <row r="26">
      <c r="L26" s="42"/>
      <c r="M26" s="42"/>
      <c r="N26" s="42"/>
      <c r="O26" s="42"/>
    </row>
    <row r="27">
      <c r="L27" s="42"/>
      <c r="M27" s="42"/>
      <c r="N27" s="42"/>
      <c r="O27" s="42"/>
    </row>
    <row r="28">
      <c r="L28" s="42"/>
      <c r="M28" s="42"/>
      <c r="N28" s="42"/>
      <c r="O28" s="42"/>
    </row>
    <row r="29">
      <c r="K29" s="42"/>
      <c r="L29" s="42"/>
      <c r="M29" s="42"/>
      <c r="N29" s="42"/>
      <c r="O29" s="42"/>
    </row>
    <row r="30">
      <c r="K30" s="42"/>
      <c r="L30" s="42"/>
      <c r="M30" s="42"/>
      <c r="N30" s="42"/>
      <c r="O30" s="42"/>
    </row>
    <row r="31">
      <c r="K31" s="42"/>
      <c r="L31" s="42"/>
      <c r="M31" s="42"/>
      <c r="N31" s="42"/>
      <c r="O31" s="42"/>
    </row>
    <row r="32">
      <c r="G32" s="42"/>
      <c r="I32" s="42"/>
      <c r="J32" s="42"/>
      <c r="L32" s="42"/>
      <c r="M32" s="42"/>
      <c r="N32" s="42"/>
      <c r="O32" s="42"/>
      <c r="P32" s="505"/>
      <c r="Q32" s="505"/>
      <c r="R32" s="505"/>
      <c r="S32" s="466"/>
      <c r="T32" s="466"/>
      <c r="U32" s="505"/>
      <c r="V32" s="505"/>
      <c r="W32" s="505"/>
      <c r="X32" s="505"/>
      <c r="Y32" s="505"/>
      <c r="Z32" s="466"/>
      <c r="AA32" s="505"/>
      <c r="AB32" s="505"/>
      <c r="AC32" s="505"/>
      <c r="AD32" s="505"/>
      <c r="AE32" s="505"/>
      <c r="AF32" s="466"/>
      <c r="AG32" s="466"/>
      <c r="AH32" s="466"/>
      <c r="AI32" s="466"/>
      <c r="AJ32" s="466"/>
      <c r="AK32" s="466"/>
      <c r="AL32" s="466"/>
      <c r="AM32" s="466"/>
      <c r="AN32" s="466"/>
      <c r="AO32" s="466"/>
      <c r="AP32" s="466"/>
      <c r="AQ32" s="466"/>
      <c r="AR32" s="466"/>
      <c r="AS32" s="466"/>
      <c r="AT32" s="466"/>
      <c r="AU32" s="466"/>
      <c r="AV32" s="466"/>
      <c r="AW32" s="466"/>
      <c r="AX32" s="466"/>
      <c r="AY32" s="466"/>
      <c r="AZ32" s="466"/>
      <c r="BA32" s="466"/>
      <c r="BB32" s="466"/>
      <c r="BC32" s="466"/>
      <c r="BD32" s="466"/>
      <c r="BE32" s="466"/>
      <c r="BF32" s="466"/>
      <c r="BG32" s="466"/>
      <c r="BH32" s="466"/>
      <c r="BI32" s="466"/>
      <c r="BJ32" s="466"/>
      <c r="BK32" s="466"/>
      <c r="BL32" s="466"/>
      <c r="BM32" s="466"/>
      <c r="BN32" s="466"/>
      <c r="BO32" s="466"/>
      <c r="BP32" s="466"/>
      <c r="BQ32" s="466"/>
      <c r="BR32" s="466"/>
      <c r="BS32" s="466"/>
      <c r="BT32" s="466"/>
    </row>
    <row r="33">
      <c r="A33" s="101"/>
      <c r="L33" s="42"/>
      <c r="M33" s="42"/>
      <c r="N33" s="42"/>
      <c r="O33" s="42"/>
    </row>
    <row r="34">
      <c r="A34" s="42"/>
      <c r="I34" s="506"/>
      <c r="J34" s="42"/>
      <c r="L34" s="42"/>
      <c r="M34" s="42"/>
      <c r="N34" s="42"/>
      <c r="O34" s="42"/>
    </row>
    <row r="35">
      <c r="A35" s="42"/>
      <c r="J35" s="42"/>
      <c r="L35" s="42"/>
      <c r="M35" s="42"/>
      <c r="N35" s="42"/>
      <c r="O35" s="42"/>
    </row>
    <row r="36">
      <c r="B36" s="496"/>
      <c r="C36" s="496"/>
      <c r="D36" s="496"/>
      <c r="E36" s="42"/>
      <c r="F36" s="42"/>
      <c r="G36" s="42"/>
      <c r="H36" s="42"/>
      <c r="I36" s="42"/>
      <c r="L36" s="42"/>
      <c r="M36" s="42"/>
      <c r="N36" s="42"/>
      <c r="O36" s="42"/>
    </row>
    <row r="37">
      <c r="B37" s="42"/>
      <c r="C37" s="42"/>
      <c r="D37" s="42"/>
      <c r="G37" s="496"/>
      <c r="I37" s="42"/>
      <c r="L37" s="42"/>
      <c r="M37" s="42"/>
      <c r="N37" s="42"/>
      <c r="O37" s="42"/>
    </row>
    <row r="38">
      <c r="B38" s="42"/>
      <c r="C38" s="42"/>
      <c r="D38" s="42"/>
      <c r="G38" s="496"/>
      <c r="I38" s="42"/>
      <c r="J38" s="42"/>
      <c r="L38" s="42"/>
      <c r="M38" s="42"/>
      <c r="N38" s="42"/>
      <c r="O38" s="42"/>
    </row>
    <row r="39">
      <c r="G39" s="496"/>
      <c r="H39" s="42"/>
      <c r="I39" s="42"/>
      <c r="L39" s="42"/>
      <c r="M39" s="42"/>
      <c r="N39" s="42"/>
      <c r="O39" s="42"/>
    </row>
    <row r="40">
      <c r="B40" s="42"/>
      <c r="C40" s="42"/>
      <c r="D40" s="42"/>
      <c r="G40" s="496"/>
      <c r="H40" s="42"/>
      <c r="I40" s="42"/>
      <c r="J40" s="42"/>
    </row>
    <row r="41">
      <c r="G41" s="496"/>
      <c r="H41" s="42"/>
      <c r="I41" s="42"/>
    </row>
    <row r="42">
      <c r="B42" s="42"/>
      <c r="C42" s="42"/>
      <c r="D42" s="42"/>
      <c r="G42" s="496"/>
      <c r="H42" s="42"/>
      <c r="I42" s="42"/>
      <c r="P42" s="496"/>
    </row>
    <row r="43">
      <c r="B43" s="42"/>
      <c r="C43" s="42"/>
      <c r="D43" s="42"/>
      <c r="G43" s="496"/>
      <c r="I43" s="42"/>
    </row>
    <row r="44">
      <c r="B44" s="42"/>
      <c r="C44" s="42"/>
      <c r="D44" s="42"/>
      <c r="G44" s="496"/>
      <c r="H44" s="42"/>
      <c r="I44" s="42"/>
      <c r="J44" s="42"/>
    </row>
    <row r="45">
      <c r="G45" s="496"/>
      <c r="I45" s="42"/>
      <c r="J45" s="42"/>
    </row>
    <row r="46">
      <c r="G46" s="496"/>
      <c r="H46" s="42"/>
      <c r="I46" s="42"/>
      <c r="J46" s="42"/>
    </row>
    <row r="47">
      <c r="G47" s="496"/>
      <c r="H47" s="42"/>
      <c r="I47" s="42"/>
    </row>
    <row r="48">
      <c r="B48" s="42"/>
      <c r="C48" s="42"/>
      <c r="D48" s="42"/>
      <c r="G48" s="496"/>
      <c r="H48" s="42"/>
      <c r="I48" s="42"/>
    </row>
    <row r="49">
      <c r="G49" s="496"/>
      <c r="H49" s="42"/>
      <c r="I49" s="42"/>
      <c r="P49" s="505"/>
      <c r="Q49" s="505"/>
    </row>
    <row r="50">
      <c r="B50" s="42"/>
      <c r="C50" s="42"/>
      <c r="D50" s="42"/>
      <c r="E50" s="42"/>
      <c r="F50" s="42"/>
      <c r="G50" s="496"/>
      <c r="H50" s="42"/>
      <c r="I50" s="42"/>
      <c r="P50" s="42"/>
      <c r="Q50" s="42"/>
    </row>
    <row r="51">
      <c r="E51" s="42"/>
      <c r="F51" s="42"/>
      <c r="G51" s="496"/>
      <c r="H51" s="42"/>
      <c r="I51" s="42"/>
      <c r="P51" s="42"/>
      <c r="Q51" s="42"/>
    </row>
    <row r="52">
      <c r="B52" s="42"/>
      <c r="C52" s="42"/>
      <c r="D52" s="42"/>
      <c r="G52" s="496"/>
      <c r="H52" s="42"/>
      <c r="I52" s="42"/>
      <c r="P52" s="42"/>
      <c r="Q52" s="42"/>
    </row>
    <row r="53">
      <c r="B53" s="42"/>
      <c r="C53" s="42"/>
      <c r="D53" s="42"/>
      <c r="E53" s="42"/>
      <c r="F53" s="42"/>
      <c r="G53" s="496"/>
      <c r="H53" s="42"/>
      <c r="I53" s="42"/>
      <c r="P53" s="42"/>
      <c r="Q53" s="42"/>
    </row>
    <row r="54">
      <c r="P54" s="42"/>
      <c r="Q54" s="42"/>
    </row>
    <row r="55">
      <c r="A55" s="42"/>
      <c r="G55" s="496"/>
    </row>
    <row r="56">
      <c r="V56" s="496"/>
    </row>
    <row r="61">
      <c r="T61" s="466"/>
      <c r="U61" s="505"/>
      <c r="V61" s="505"/>
      <c r="W61" s="505"/>
      <c r="X61" s="505"/>
      <c r="Y61" s="505"/>
      <c r="Z61" s="466"/>
      <c r="AB61" s="466"/>
    </row>
    <row r="62">
      <c r="T62" s="507"/>
      <c r="U62" s="508"/>
      <c r="V62" s="508"/>
      <c r="W62" s="508"/>
      <c r="X62" s="508"/>
      <c r="Y62" s="508"/>
      <c r="Z62" s="507"/>
      <c r="AC62" s="505"/>
      <c r="AD62" s="505"/>
      <c r="AE62" s="505"/>
      <c r="AF62" s="466"/>
    </row>
    <row r="63">
      <c r="U63" s="42"/>
      <c r="V63" s="42"/>
      <c r="W63" s="42"/>
      <c r="X63" s="42"/>
      <c r="Y63" s="42"/>
      <c r="AC63" s="42"/>
      <c r="AD63" s="42"/>
      <c r="AE63" s="42"/>
    </row>
    <row r="64">
      <c r="U64" s="42"/>
      <c r="V64" s="42"/>
      <c r="W64" s="42"/>
      <c r="X64" s="42"/>
      <c r="Y64" s="42"/>
      <c r="AC64" s="42"/>
      <c r="AD64" s="42"/>
      <c r="AE64" s="42"/>
    </row>
    <row r="65">
      <c r="U65" s="42"/>
      <c r="V65" s="42"/>
      <c r="W65" s="42"/>
      <c r="X65" s="42"/>
      <c r="Y65" s="42"/>
      <c r="AC65" s="42"/>
      <c r="AD65" s="42"/>
      <c r="AE65" s="42"/>
    </row>
    <row r="66">
      <c r="AC66" s="42"/>
      <c r="AD66" s="42"/>
      <c r="AE66" s="42"/>
    </row>
    <row r="67">
      <c r="U67" s="42"/>
      <c r="V67" s="42"/>
      <c r="W67" s="42"/>
      <c r="X67" s="42"/>
      <c r="Y67" s="42"/>
      <c r="AC67" s="42"/>
      <c r="AD67" s="42"/>
      <c r="AE67" s="42"/>
    </row>
    <row r="68">
      <c r="AC68" s="42"/>
      <c r="AD68" s="42"/>
      <c r="AE68" s="42"/>
    </row>
  </sheetData>
  <mergeCells count="3">
    <mergeCell ref="F1:G1"/>
    <mergeCell ref="I1:M1"/>
    <mergeCell ref="A11:F11"/>
  </mergeCell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7.0"/>
    <col customWidth="1" min="3" max="3" width="16.13"/>
    <col customWidth="1" min="4" max="4" width="14.75"/>
    <col customWidth="1" min="5" max="5" width="14.25"/>
    <col customWidth="1" min="6" max="6" width="24.0"/>
    <col customWidth="1" min="7" max="7" width="26.63"/>
  </cols>
  <sheetData>
    <row r="4" ht="22.5" customHeight="1">
      <c r="A4" s="469" t="s">
        <v>21</v>
      </c>
      <c r="B4" s="469" t="s">
        <v>1787</v>
      </c>
      <c r="C4" s="509" t="s">
        <v>1947</v>
      </c>
      <c r="D4" s="509" t="s">
        <v>1948</v>
      </c>
      <c r="E4" s="469" t="s">
        <v>1949</v>
      </c>
    </row>
    <row r="5" ht="22.5" customHeight="1">
      <c r="A5" s="476" t="s">
        <v>129</v>
      </c>
      <c r="B5" s="510">
        <v>2020.0</v>
      </c>
      <c r="C5" s="82" t="s">
        <v>1950</v>
      </c>
      <c r="D5" s="61">
        <f>COUNTIFS(Pledges[Company],A5,Pledges[report year],B5)</f>
        <v>9</v>
      </c>
      <c r="E5" s="61" t="s">
        <v>1951</v>
      </c>
    </row>
    <row r="6" ht="22.5" customHeight="1">
      <c r="A6" s="479" t="s">
        <v>129</v>
      </c>
      <c r="B6" s="511">
        <v>2021.0</v>
      </c>
      <c r="C6" s="83" t="s">
        <v>1950</v>
      </c>
      <c r="D6" s="83">
        <f>COUNTIFS(Pledges[Company],A6,Pledges[report year],B6)</f>
        <v>5</v>
      </c>
      <c r="E6" s="83"/>
    </row>
    <row r="7" ht="22.5" customHeight="1">
      <c r="A7" s="476" t="s">
        <v>129</v>
      </c>
      <c r="B7" s="510">
        <v>2022.0</v>
      </c>
      <c r="C7" s="83" t="s">
        <v>1950</v>
      </c>
      <c r="D7" s="83">
        <f>COUNTIFS(Pledges[Company],A7,Pledges[report year],B7)</f>
        <v>9</v>
      </c>
      <c r="E7" s="83"/>
    </row>
    <row r="8" ht="22.5" customHeight="1">
      <c r="A8" s="479" t="s">
        <v>129</v>
      </c>
      <c r="B8" s="511">
        <v>2023.0</v>
      </c>
      <c r="C8" s="83" t="s">
        <v>1952</v>
      </c>
      <c r="D8" s="83">
        <f>COUNTIFS(Pledges[Company],A8,Pledges[report year],B8)</f>
        <v>0</v>
      </c>
      <c r="E8" s="83"/>
    </row>
    <row r="9" ht="22.5" customHeight="1">
      <c r="A9" s="476" t="s">
        <v>129</v>
      </c>
      <c r="B9" s="510">
        <v>2024.0</v>
      </c>
      <c r="C9" s="83" t="s">
        <v>1950</v>
      </c>
      <c r="D9" s="83">
        <f>COUNTIFS(Pledges[Company],A9,Pledges[report year],B9)</f>
        <v>5</v>
      </c>
      <c r="E9" s="83"/>
    </row>
    <row r="10" ht="22.5" customHeight="1">
      <c r="A10" s="476" t="s">
        <v>123</v>
      </c>
      <c r="B10" s="510">
        <v>2018.0</v>
      </c>
      <c r="C10" s="82" t="s">
        <v>1953</v>
      </c>
      <c r="D10" s="61">
        <f>COUNTIFS(Pledges[Company],A10,Pledges[report year],B10)</f>
        <v>0</v>
      </c>
      <c r="E10" s="61" t="s">
        <v>1951</v>
      </c>
    </row>
    <row r="11" ht="22.5" customHeight="1">
      <c r="A11" s="479" t="s">
        <v>123</v>
      </c>
      <c r="B11" s="511">
        <v>2020.0</v>
      </c>
      <c r="C11" s="83" t="s">
        <v>1950</v>
      </c>
      <c r="D11" s="83">
        <f>COUNTIFS(Pledges[Company],A11,Pledges[report year],B11)</f>
        <v>4</v>
      </c>
      <c r="E11" s="83"/>
    </row>
    <row r="12" ht="22.5" customHeight="1">
      <c r="A12" s="476" t="s">
        <v>123</v>
      </c>
      <c r="B12" s="510">
        <v>2021.0</v>
      </c>
      <c r="C12" s="83" t="s">
        <v>1952</v>
      </c>
      <c r="D12" s="83">
        <f>COUNTIFS(Pledges[Company],A12,Pledges[report year],B12)</f>
        <v>0</v>
      </c>
      <c r="E12" s="83"/>
    </row>
    <row r="13" ht="22.5" customHeight="1">
      <c r="A13" s="479" t="s">
        <v>123</v>
      </c>
      <c r="B13" s="511">
        <v>2022.0</v>
      </c>
      <c r="C13" s="83" t="s">
        <v>1952</v>
      </c>
      <c r="D13" s="83">
        <f>COUNTIFS(Pledges[Company],A13,Pledges[report year],B13)</f>
        <v>0</v>
      </c>
      <c r="E13" s="83"/>
    </row>
    <row r="14" ht="22.5" customHeight="1">
      <c r="A14" s="476" t="s">
        <v>123</v>
      </c>
      <c r="B14" s="510">
        <v>2023.0</v>
      </c>
      <c r="C14" s="83" t="s">
        <v>1950</v>
      </c>
      <c r="D14" s="83">
        <f>COUNTIFS(Pledges[Company],A14,Pledges[report year],B14)</f>
        <v>6</v>
      </c>
      <c r="E14" s="83"/>
    </row>
    <row r="15" ht="22.5" customHeight="1">
      <c r="A15" s="479" t="s">
        <v>123</v>
      </c>
      <c r="B15" s="511">
        <v>2024.0</v>
      </c>
      <c r="C15" s="83" t="s">
        <v>1952</v>
      </c>
      <c r="D15" s="83">
        <f>COUNTIFS(Pledges[Company],A15,Pledges[report year],B15)</f>
        <v>0</v>
      </c>
      <c r="E15" s="83"/>
    </row>
    <row r="16" ht="22.5" customHeight="1">
      <c r="A16" s="476" t="s">
        <v>112</v>
      </c>
      <c r="B16" s="510">
        <v>2019.0</v>
      </c>
      <c r="C16" s="83" t="s">
        <v>1950</v>
      </c>
      <c r="D16" s="83">
        <f>COUNTIFS(Pledges[Company],A16,Pledges[report year],B16)</f>
        <v>5</v>
      </c>
      <c r="E16" s="83"/>
    </row>
    <row r="17" ht="22.5" customHeight="1">
      <c r="A17" s="479" t="s">
        <v>112</v>
      </c>
      <c r="B17" s="511">
        <v>2020.0</v>
      </c>
      <c r="C17" s="83" t="s">
        <v>1950</v>
      </c>
      <c r="D17" s="83">
        <f>COUNTIFS(Pledges[Company],A17,Pledges[report year],B17)</f>
        <v>6</v>
      </c>
      <c r="E17" s="83"/>
    </row>
    <row r="18" ht="22.5" customHeight="1">
      <c r="A18" s="476" t="s">
        <v>112</v>
      </c>
      <c r="B18" s="510">
        <v>2021.0</v>
      </c>
      <c r="C18" s="83" t="s">
        <v>1950</v>
      </c>
      <c r="D18" s="83">
        <f>COUNTIFS(Pledges[Company],A18,Pledges[report year],B18)</f>
        <v>3</v>
      </c>
      <c r="E18" s="83"/>
    </row>
    <row r="19" ht="22.5" customHeight="1">
      <c r="A19" s="479" t="s">
        <v>112</v>
      </c>
      <c r="B19" s="511">
        <v>2022.0</v>
      </c>
      <c r="C19" s="83" t="s">
        <v>1950</v>
      </c>
      <c r="D19" s="83">
        <f>COUNTIFS(Pledges[Company],A19,Pledges[report year],B19)</f>
        <v>1</v>
      </c>
      <c r="E19" s="83"/>
    </row>
    <row r="20" ht="22.5" customHeight="1">
      <c r="A20" s="476" t="s">
        <v>112</v>
      </c>
      <c r="B20" s="510">
        <v>2023.0</v>
      </c>
      <c r="C20" s="83" t="s">
        <v>1952</v>
      </c>
      <c r="D20" s="83">
        <f>COUNTIFS(Pledges[Company],A20,Pledges[report year],B20)</f>
        <v>0</v>
      </c>
      <c r="E20" s="83"/>
    </row>
    <row r="21" ht="22.5" customHeight="1">
      <c r="A21" s="479" t="s">
        <v>112</v>
      </c>
      <c r="B21" s="511">
        <v>2018.0</v>
      </c>
      <c r="C21" s="82" t="s">
        <v>1952</v>
      </c>
      <c r="D21" s="61">
        <f>COUNTIFS(Pledges[Company],A21,Pledges[report year],B21)</f>
        <v>0</v>
      </c>
      <c r="E21" s="61" t="s">
        <v>1951</v>
      </c>
    </row>
    <row r="22" ht="22.5" customHeight="1">
      <c r="A22" s="479" t="s">
        <v>1339</v>
      </c>
      <c r="B22" s="511">
        <v>2016.0</v>
      </c>
      <c r="C22" s="82" t="s">
        <v>1950</v>
      </c>
      <c r="D22" s="61">
        <f>COUNTIFS(Pledges[Company],A22,Pledges[report year],B22)</f>
        <v>2</v>
      </c>
      <c r="E22" s="61" t="s">
        <v>1951</v>
      </c>
    </row>
    <row r="23" ht="22.5" customHeight="1">
      <c r="A23" s="476" t="s">
        <v>1339</v>
      </c>
      <c r="B23" s="510">
        <v>2017.0</v>
      </c>
      <c r="C23" s="83" t="s">
        <v>1950</v>
      </c>
      <c r="D23" s="83">
        <f>COUNTIFS(Pledges[Company],A23,Pledges[report year],B23)</f>
        <v>7</v>
      </c>
      <c r="E23" s="83"/>
    </row>
    <row r="24" ht="22.5" customHeight="1">
      <c r="A24" s="479" t="s">
        <v>1339</v>
      </c>
      <c r="B24" s="511">
        <v>2018.0</v>
      </c>
      <c r="C24" s="83" t="s">
        <v>1952</v>
      </c>
      <c r="D24" s="83">
        <f>COUNTIFS(Pledges[Company],A24,Pledges[report year],B24)</f>
        <v>0</v>
      </c>
      <c r="E24" s="83"/>
    </row>
    <row r="25" ht="22.5" customHeight="1">
      <c r="A25" s="476" t="s">
        <v>1339</v>
      </c>
      <c r="B25" s="510">
        <v>2019.0</v>
      </c>
      <c r="C25" s="83" t="s">
        <v>1950</v>
      </c>
      <c r="D25" s="83">
        <f>COUNTIFS(Pledges[Company],A25,Pledges[report year],B25)</f>
        <v>1</v>
      </c>
      <c r="E25" s="83"/>
    </row>
    <row r="26" ht="22.5" customHeight="1">
      <c r="A26" s="479" t="s">
        <v>1339</v>
      </c>
      <c r="B26" s="511">
        <v>2020.0</v>
      </c>
      <c r="C26" s="83" t="s">
        <v>1950</v>
      </c>
      <c r="D26" s="83">
        <f>COUNTIFS(Pledges[Company],A26,Pledges[report year],B26)</f>
        <v>6</v>
      </c>
      <c r="E26" s="83"/>
    </row>
    <row r="27" ht="22.5" customHeight="1">
      <c r="A27" s="476" t="s">
        <v>1339</v>
      </c>
      <c r="B27" s="510">
        <v>2021.0</v>
      </c>
      <c r="C27" s="83" t="s">
        <v>1950</v>
      </c>
      <c r="D27" s="83">
        <f>COUNTIFS(Pledges[Company],A27,Pledges[report year],B27)</f>
        <v>6</v>
      </c>
      <c r="E27" s="83"/>
    </row>
    <row r="28" ht="22.5" customHeight="1">
      <c r="A28" s="479" t="s">
        <v>1339</v>
      </c>
      <c r="B28" s="511">
        <v>2022.0</v>
      </c>
      <c r="C28" s="83" t="s">
        <v>1952</v>
      </c>
      <c r="D28" s="83">
        <f>COUNTIFS(Pledges[Company],A28,Pledges[report year],B28)</f>
        <v>0</v>
      </c>
      <c r="E28" s="83"/>
    </row>
    <row r="29" ht="22.5" customHeight="1">
      <c r="A29" s="512" t="s">
        <v>1339</v>
      </c>
      <c r="B29" s="513">
        <v>2023.0</v>
      </c>
      <c r="C29" s="83" t="s">
        <v>1950</v>
      </c>
      <c r="D29" s="83">
        <f>COUNTIFS(Pledges[Company],A29,Pledges[report year],B29)</f>
        <v>3</v>
      </c>
      <c r="E29" s="83"/>
    </row>
    <row r="30" ht="22.5" customHeight="1">
      <c r="A30" s="514" t="s">
        <v>1339</v>
      </c>
      <c r="B30" s="515">
        <v>2024.0</v>
      </c>
      <c r="C30" s="83" t="s">
        <v>1950</v>
      </c>
      <c r="D30" s="83">
        <f>COUNTIFS(Pledges[Company],A30,Pledges[report year],B30)</f>
        <v>5</v>
      </c>
      <c r="E30" s="83"/>
    </row>
    <row r="31" ht="22.5" customHeight="1">
      <c r="A31" s="516" t="s">
        <v>193</v>
      </c>
      <c r="B31" s="517">
        <v>2015.0</v>
      </c>
      <c r="C31" s="82" t="s">
        <v>1952</v>
      </c>
      <c r="D31" s="61">
        <f>COUNTIFS(Pledges[Company],A31,Pledges[report year],B31)</f>
        <v>0</v>
      </c>
      <c r="E31" s="61" t="s">
        <v>1951</v>
      </c>
    </row>
    <row r="32" ht="22.5" customHeight="1">
      <c r="A32" s="514" t="s">
        <v>193</v>
      </c>
      <c r="B32" s="515">
        <v>2016.0</v>
      </c>
      <c r="C32" s="82" t="s">
        <v>1952</v>
      </c>
      <c r="D32" s="61">
        <f>COUNTIFS(Pledges[Company],A32,Pledges[report year],B32)</f>
        <v>0</v>
      </c>
      <c r="E32" s="61"/>
    </row>
    <row r="33" ht="22.5" customHeight="1">
      <c r="A33" s="512" t="s">
        <v>193</v>
      </c>
      <c r="B33" s="513">
        <v>2017.0</v>
      </c>
      <c r="C33" s="83" t="s">
        <v>1950</v>
      </c>
      <c r="D33" s="83">
        <f>COUNTIFS(Pledges[Company],A33,Pledges[report year],B33)</f>
        <v>5</v>
      </c>
      <c r="E33" s="83"/>
    </row>
    <row r="34" ht="22.5" customHeight="1">
      <c r="A34" s="514" t="s">
        <v>193</v>
      </c>
      <c r="B34" s="515">
        <v>2018.0</v>
      </c>
      <c r="C34" s="83" t="s">
        <v>1952</v>
      </c>
      <c r="D34" s="83">
        <f>COUNTIFS(Pledges[Company],A34,Pledges[report year],B34)</f>
        <v>0</v>
      </c>
      <c r="E34" s="83"/>
    </row>
    <row r="35" ht="22.5" customHeight="1">
      <c r="A35" s="518" t="s">
        <v>193</v>
      </c>
      <c r="B35" s="519">
        <v>2019.0</v>
      </c>
      <c r="C35" s="83" t="s">
        <v>1950</v>
      </c>
      <c r="D35" s="83">
        <f>COUNTIFS(Pledges[Company],A35,Pledges[report year],B35)</f>
        <v>1</v>
      </c>
      <c r="E35" s="83"/>
    </row>
    <row r="36" ht="22.5" customHeight="1">
      <c r="A36" s="516" t="s">
        <v>193</v>
      </c>
      <c r="B36" s="520">
        <v>2020.0</v>
      </c>
      <c r="C36" s="83" t="s">
        <v>1950</v>
      </c>
      <c r="D36" s="83">
        <f>COUNTIFS(Pledges[Company],A36,Pledges[report year],B36)</f>
        <v>7</v>
      </c>
      <c r="E36" s="83"/>
    </row>
    <row r="37" ht="22.5" customHeight="1">
      <c r="A37" s="518" t="s">
        <v>193</v>
      </c>
      <c r="B37" s="515">
        <v>2021.0</v>
      </c>
      <c r="C37" s="83" t="s">
        <v>1950</v>
      </c>
      <c r="D37" s="83">
        <f>COUNTIFS(Pledges[Company],A37,Pledges[report year],B37)</f>
        <v>6</v>
      </c>
      <c r="E37" s="83"/>
      <c r="F37" s="42"/>
    </row>
    <row r="38" ht="22.5" customHeight="1">
      <c r="A38" s="516" t="s">
        <v>193</v>
      </c>
      <c r="B38" s="520">
        <v>2022.0</v>
      </c>
      <c r="C38" s="83" t="s">
        <v>1952</v>
      </c>
      <c r="D38" s="83">
        <f>COUNTIFS(Pledges[Company],A38,Pledges[report year],B38)</f>
        <v>0</v>
      </c>
      <c r="E38" s="83"/>
      <c r="F38" s="42"/>
    </row>
    <row r="39" ht="22.5" customHeight="1">
      <c r="A39" s="518" t="s">
        <v>193</v>
      </c>
      <c r="B39" s="515">
        <v>2023.0</v>
      </c>
      <c r="C39" s="83" t="s">
        <v>1950</v>
      </c>
      <c r="D39" s="83">
        <f>COUNTIFS(Pledges[Company],A39,Pledges[report year],B39)</f>
        <v>2</v>
      </c>
      <c r="E39" s="83"/>
      <c r="F39" s="42"/>
    </row>
    <row r="40" ht="22.5" customHeight="1">
      <c r="A40" s="516" t="s">
        <v>193</v>
      </c>
      <c r="B40" s="513">
        <v>2024.0</v>
      </c>
      <c r="C40" s="83" t="s">
        <v>1950</v>
      </c>
      <c r="D40" s="83">
        <f>COUNTIFS(Pledges[Company],A40,Pledges[report year],B40)</f>
        <v>4</v>
      </c>
      <c r="E40" s="83"/>
      <c r="F40" s="42"/>
    </row>
    <row r="41" ht="22.5" customHeight="1">
      <c r="A41" s="514" t="s">
        <v>188</v>
      </c>
      <c r="B41" s="515">
        <v>2015.0</v>
      </c>
      <c r="C41" s="82" t="s">
        <v>1952</v>
      </c>
      <c r="D41" s="61">
        <f>COUNTIFS(Pledges[Company],A41,Pledges[report year],B41)</f>
        <v>0</v>
      </c>
      <c r="E41" s="61" t="s">
        <v>1951</v>
      </c>
      <c r="F41" s="42"/>
    </row>
    <row r="42" ht="22.5" customHeight="1">
      <c r="A42" s="512" t="s">
        <v>188</v>
      </c>
      <c r="B42" s="513">
        <v>2016.0</v>
      </c>
      <c r="C42" s="83" t="s">
        <v>1952</v>
      </c>
      <c r="D42" s="83">
        <f>COUNTIFS(Pledges[Company],A42,Pledges[report year],B42)</f>
        <v>0</v>
      </c>
      <c r="E42" s="83"/>
    </row>
    <row r="43" ht="22.5" customHeight="1">
      <c r="A43" s="514" t="s">
        <v>188</v>
      </c>
      <c r="B43" s="515">
        <v>2017.0</v>
      </c>
      <c r="C43" s="83" t="s">
        <v>1952</v>
      </c>
      <c r="D43" s="83">
        <f>COUNTIFS(Pledges[Company],A43,Pledges[report year],B43)</f>
        <v>0</v>
      </c>
      <c r="E43" s="83"/>
    </row>
    <row r="44" ht="22.5" customHeight="1">
      <c r="A44" s="512" t="s">
        <v>188</v>
      </c>
      <c r="B44" s="513">
        <v>2018.0</v>
      </c>
      <c r="C44" s="83" t="s">
        <v>1952</v>
      </c>
      <c r="D44" s="83">
        <f>COUNTIFS(Pledges[Company],A44,Pledges[report year],B44)</f>
        <v>0</v>
      </c>
      <c r="E44" s="83"/>
    </row>
    <row r="45" ht="22.5" customHeight="1">
      <c r="A45" s="514" t="s">
        <v>188</v>
      </c>
      <c r="B45" s="515">
        <v>2019.0</v>
      </c>
      <c r="C45" s="83" t="s">
        <v>1952</v>
      </c>
      <c r="D45" s="83">
        <f>COUNTIFS(Pledges[Company],A45,Pledges[report year],B45)</f>
        <v>0</v>
      </c>
      <c r="E45" s="83"/>
    </row>
    <row r="46" ht="22.5" customHeight="1">
      <c r="A46" s="512" t="s">
        <v>188</v>
      </c>
      <c r="B46" s="513">
        <v>2020.0</v>
      </c>
      <c r="C46" s="83" t="s">
        <v>1950</v>
      </c>
      <c r="D46" s="83">
        <f>COUNTIFS(Pledges[Company],A46,Pledges[report year],B46)</f>
        <v>8</v>
      </c>
      <c r="E46" s="83"/>
    </row>
    <row r="47" ht="22.5" customHeight="1">
      <c r="A47" s="514" t="s">
        <v>188</v>
      </c>
      <c r="B47" s="515">
        <v>2021.0</v>
      </c>
      <c r="C47" s="83" t="s">
        <v>1952</v>
      </c>
      <c r="D47" s="83">
        <f>COUNTIFS(Pledges[Company],A47,Pledges[report year],B47)</f>
        <v>0</v>
      </c>
      <c r="E47" s="83"/>
    </row>
    <row r="48" ht="22.5" customHeight="1">
      <c r="A48" s="512" t="s">
        <v>188</v>
      </c>
      <c r="B48" s="513">
        <v>2022.0</v>
      </c>
      <c r="C48" s="83" t="s">
        <v>1952</v>
      </c>
      <c r="D48" s="83">
        <f>COUNTIFS(Pledges[Company],A48,Pledges[report year],B48)</f>
        <v>0</v>
      </c>
      <c r="E48" s="83"/>
    </row>
    <row r="49" ht="22.5" customHeight="1">
      <c r="A49" s="514" t="s">
        <v>188</v>
      </c>
      <c r="B49" s="515">
        <v>2023.0</v>
      </c>
      <c r="C49" s="83" t="s">
        <v>1950</v>
      </c>
      <c r="D49" s="83">
        <f>COUNTIFS(Pledges[Company],A49,Pledges[report year],B49)</f>
        <v>1</v>
      </c>
      <c r="E49" s="83"/>
    </row>
    <row r="50" ht="22.5" customHeight="1">
      <c r="A50" s="512" t="s">
        <v>188</v>
      </c>
      <c r="B50" s="513">
        <v>2024.0</v>
      </c>
      <c r="C50" s="83" t="s">
        <v>1950</v>
      </c>
      <c r="D50" s="83">
        <f>COUNTIFS(Pledges[Company],A50,Pledges[report year],B50)</f>
        <v>3</v>
      </c>
      <c r="E50" s="83"/>
    </row>
    <row r="51" ht="22.5" customHeight="1">
      <c r="A51" s="514" t="s">
        <v>166</v>
      </c>
      <c r="B51" s="515">
        <v>2015.0</v>
      </c>
      <c r="C51" s="82" t="s">
        <v>1953</v>
      </c>
      <c r="D51" s="61">
        <f>COUNTIFS(Pledges[Company],A51,Pledges[report year],B51)</f>
        <v>0</v>
      </c>
      <c r="E51" s="61" t="s">
        <v>1951</v>
      </c>
    </row>
    <row r="52" ht="22.5" customHeight="1">
      <c r="A52" s="512" t="s">
        <v>166</v>
      </c>
      <c r="B52" s="513">
        <v>2016.0</v>
      </c>
      <c r="C52" s="83" t="s">
        <v>1953</v>
      </c>
      <c r="D52" s="83">
        <f>COUNTIFS(Pledges[Company],A52,Pledges[report year],B52)</f>
        <v>0</v>
      </c>
      <c r="E52" s="83"/>
    </row>
    <row r="53" ht="22.5" customHeight="1">
      <c r="A53" s="514" t="s">
        <v>166</v>
      </c>
      <c r="B53" s="515">
        <v>2017.0</v>
      </c>
      <c r="C53" s="83" t="s">
        <v>1953</v>
      </c>
      <c r="D53" s="83">
        <f>COUNTIFS(Pledges[Company],A53,Pledges[report year],B53)</f>
        <v>0</v>
      </c>
      <c r="E53" s="83"/>
    </row>
    <row r="54" ht="22.5" customHeight="1">
      <c r="A54" s="512" t="s">
        <v>166</v>
      </c>
      <c r="B54" s="513">
        <v>2018.0</v>
      </c>
      <c r="C54" s="83" t="s">
        <v>1953</v>
      </c>
      <c r="D54" s="83">
        <f>COUNTIFS(Pledges[Company],A54,Pledges[report year],B54)</f>
        <v>0</v>
      </c>
      <c r="E54" s="83"/>
    </row>
    <row r="55" ht="22.5" customHeight="1">
      <c r="A55" s="514" t="s">
        <v>166</v>
      </c>
      <c r="B55" s="515">
        <v>2019.0</v>
      </c>
      <c r="C55" s="83" t="s">
        <v>1953</v>
      </c>
      <c r="D55" s="83">
        <f>COUNTIFS(Pledges[Company],A55,Pledges[report year],B55)</f>
        <v>1</v>
      </c>
      <c r="E55" s="83"/>
    </row>
    <row r="56" ht="22.5" customHeight="1">
      <c r="A56" s="512" t="s">
        <v>166</v>
      </c>
      <c r="B56" s="513">
        <v>2020.0</v>
      </c>
      <c r="C56" s="83" t="s">
        <v>1950</v>
      </c>
      <c r="D56" s="83">
        <f>COUNTIFS(Pledges[Company],A56,Pledges[report year],B56)</f>
        <v>16</v>
      </c>
      <c r="E56" s="83"/>
    </row>
    <row r="57" ht="22.5" customHeight="1">
      <c r="A57" s="514" t="s">
        <v>166</v>
      </c>
      <c r="B57" s="515">
        <v>2021.0</v>
      </c>
      <c r="C57" s="83" t="s">
        <v>1950</v>
      </c>
      <c r="D57" s="83">
        <f>COUNTIFS(Pledges[Company],A57,Pledges[report year],B57)</f>
        <v>4</v>
      </c>
      <c r="E57" s="83"/>
    </row>
    <row r="58" ht="22.5" customHeight="1">
      <c r="A58" s="512" t="s">
        <v>166</v>
      </c>
      <c r="B58" s="513">
        <v>2022.0</v>
      </c>
      <c r="C58" s="83" t="s">
        <v>1950</v>
      </c>
      <c r="D58" s="83">
        <f>COUNTIFS(Pledges[Company],A58,Pledges[report year],B58)</f>
        <v>6</v>
      </c>
      <c r="E58" s="83"/>
    </row>
    <row r="59" ht="22.5" customHeight="1">
      <c r="A59" s="514" t="s">
        <v>166</v>
      </c>
      <c r="B59" s="515">
        <v>2023.0</v>
      </c>
      <c r="C59" s="83" t="s">
        <v>1952</v>
      </c>
      <c r="D59" s="83">
        <f>COUNTIFS(Pledges[Company],A59,Pledges[report year],B59)</f>
        <v>0</v>
      </c>
      <c r="E59" s="83"/>
    </row>
    <row r="60" ht="22.5" customHeight="1">
      <c r="A60" s="512" t="s">
        <v>166</v>
      </c>
      <c r="B60" s="513">
        <v>2024.0</v>
      </c>
      <c r="C60" s="83" t="s">
        <v>1952</v>
      </c>
      <c r="D60" s="83">
        <f>COUNTIFS(Pledges[Company],A60,Pledges[report year],B60)</f>
        <v>0</v>
      </c>
      <c r="E60" s="83"/>
    </row>
    <row r="61" ht="22.5" customHeight="1">
      <c r="A61" s="514" t="s">
        <v>199</v>
      </c>
      <c r="B61" s="521">
        <v>2014.0</v>
      </c>
      <c r="C61" s="82" t="s">
        <v>1952</v>
      </c>
      <c r="D61" s="61">
        <f>COUNTIFS(Pledges[Company],A61,Pledges[report year],B61)</f>
        <v>0</v>
      </c>
      <c r="E61" s="61" t="s">
        <v>1951</v>
      </c>
    </row>
    <row r="62" ht="22.5" customHeight="1">
      <c r="A62" s="512" t="s">
        <v>199</v>
      </c>
      <c r="B62" s="522">
        <v>2015.0</v>
      </c>
      <c r="C62" s="83" t="s">
        <v>1950</v>
      </c>
      <c r="D62" s="523">
        <f>COUNTIFS(Pledges[Company],A62,Pledges[report year],B62)</f>
        <v>3</v>
      </c>
    </row>
    <row r="63" ht="22.5" customHeight="1">
      <c r="A63" s="514" t="s">
        <v>199</v>
      </c>
      <c r="B63" s="521">
        <v>2016.0</v>
      </c>
      <c r="C63" s="83" t="s">
        <v>1952</v>
      </c>
      <c r="D63" s="83">
        <f>COUNTIFS(Pledges[Company],A63,Pledges[report year],B63)</f>
        <v>0</v>
      </c>
      <c r="E63" s="83"/>
    </row>
    <row r="64" ht="22.5" customHeight="1">
      <c r="A64" s="512" t="s">
        <v>199</v>
      </c>
      <c r="B64" s="522">
        <v>2017.0</v>
      </c>
      <c r="C64" s="83" t="s">
        <v>1950</v>
      </c>
      <c r="D64" s="83">
        <f>COUNTIFS(Pledges[Company],A64,Pledges[report year],B64)</f>
        <v>1</v>
      </c>
      <c r="E64" s="83"/>
    </row>
    <row r="65" ht="22.5" customHeight="1">
      <c r="A65" s="514" t="s">
        <v>199</v>
      </c>
      <c r="B65" s="521">
        <v>2018.0</v>
      </c>
      <c r="C65" s="83" t="s">
        <v>1952</v>
      </c>
      <c r="D65" s="83">
        <f>COUNTIFS(Pledges[Company],A65,Pledges[report year],B65)</f>
        <v>0</v>
      </c>
      <c r="E65" s="83"/>
    </row>
    <row r="66" ht="22.5" customHeight="1">
      <c r="A66" s="518" t="s">
        <v>199</v>
      </c>
      <c r="B66" s="521">
        <v>2019.0</v>
      </c>
      <c r="C66" s="83" t="s">
        <v>1950</v>
      </c>
      <c r="D66" s="83">
        <f>COUNTIFS(Pledges[Company],A66,Pledges[report year],B66)</f>
        <v>6</v>
      </c>
      <c r="E66" s="83"/>
    </row>
    <row r="67" ht="22.5" customHeight="1">
      <c r="A67" s="516" t="s">
        <v>199</v>
      </c>
      <c r="B67" s="522">
        <v>2020.0</v>
      </c>
      <c r="C67" s="83" t="s">
        <v>1950</v>
      </c>
      <c r="D67" s="83">
        <f>COUNTIFS(Pledges[Company],A67,Pledges[report year],B67)</f>
        <v>3</v>
      </c>
      <c r="E67" s="83"/>
    </row>
    <row r="68" ht="22.5" customHeight="1">
      <c r="A68" s="512" t="s">
        <v>199</v>
      </c>
      <c r="B68" s="522">
        <v>2021.0</v>
      </c>
      <c r="C68" s="83" t="s">
        <v>1950</v>
      </c>
      <c r="D68" s="83">
        <f>COUNTIFS(Pledges[Company],A68,Pledges[report year],B68)</f>
        <v>1</v>
      </c>
      <c r="E68" s="83"/>
    </row>
    <row r="69" ht="22.5" customHeight="1">
      <c r="A69" s="514" t="s">
        <v>199</v>
      </c>
      <c r="B69" s="521">
        <v>2022.0</v>
      </c>
      <c r="C69" s="83" t="s">
        <v>1950</v>
      </c>
      <c r="D69" s="83">
        <f>COUNTIFS(Pledges[Company],A69,Pledges[report year],B69)</f>
        <v>3</v>
      </c>
      <c r="E69" s="83"/>
    </row>
    <row r="70" ht="22.5" customHeight="1">
      <c r="A70" s="512" t="s">
        <v>199</v>
      </c>
      <c r="B70" s="522">
        <v>2023.0</v>
      </c>
      <c r="C70" s="83" t="s">
        <v>1952</v>
      </c>
      <c r="D70" s="83">
        <f>COUNTIFS(Pledges[Company],A70,Pledges[report year],B70)</f>
        <v>0</v>
      </c>
      <c r="E70" s="83"/>
    </row>
    <row r="71" ht="22.5" customHeight="1">
      <c r="A71" s="514" t="s">
        <v>199</v>
      </c>
      <c r="B71" s="521">
        <v>2024.0</v>
      </c>
      <c r="C71" s="83" t="s">
        <v>1952</v>
      </c>
      <c r="D71" s="83">
        <f>COUNTIFS(Pledges[Company],A71,Pledges[report year],B71)</f>
        <v>0</v>
      </c>
      <c r="E71" s="83"/>
    </row>
    <row r="72" ht="22.5" customHeight="1">
      <c r="A72" s="524" t="s">
        <v>1449</v>
      </c>
      <c r="B72" s="517">
        <v>2013.0</v>
      </c>
      <c r="C72" s="82" t="s">
        <v>1953</v>
      </c>
      <c r="D72" s="61">
        <f>COUNTIFS(Pledges[Company],A72,Pledges[report year],B72)</f>
        <v>0</v>
      </c>
      <c r="E72" s="61" t="s">
        <v>1951</v>
      </c>
    </row>
    <row r="73" ht="22.5" customHeight="1">
      <c r="A73" s="525" t="s">
        <v>1449</v>
      </c>
      <c r="B73" s="526">
        <v>2014.0</v>
      </c>
      <c r="C73" s="82" t="s">
        <v>1953</v>
      </c>
      <c r="D73" s="61">
        <f>COUNTIFS(Pledges[Company],A73,Pledges[report year],B73)</f>
        <v>0</v>
      </c>
      <c r="E73" s="61"/>
    </row>
    <row r="74" ht="22.5" customHeight="1">
      <c r="A74" s="524" t="s">
        <v>1449</v>
      </c>
      <c r="B74" s="517">
        <v>2015.0</v>
      </c>
      <c r="C74" s="82" t="s">
        <v>1953</v>
      </c>
      <c r="D74" s="61">
        <f>COUNTIFS(Pledges[Company],A74,Pledges[report year],B74)</f>
        <v>0</v>
      </c>
      <c r="E74" s="61"/>
    </row>
    <row r="75" ht="22.5" customHeight="1">
      <c r="A75" s="525" t="s">
        <v>1449</v>
      </c>
      <c r="B75" s="526">
        <v>2016.0</v>
      </c>
      <c r="C75" s="82" t="s">
        <v>1953</v>
      </c>
      <c r="D75" s="61">
        <f>COUNTIFS(Pledges[Company],A75,Pledges[report year],B75)</f>
        <v>0</v>
      </c>
      <c r="E75" s="61"/>
    </row>
    <row r="76" ht="22.5" customHeight="1">
      <c r="A76" s="524" t="s">
        <v>1449</v>
      </c>
      <c r="B76" s="517">
        <v>2017.0</v>
      </c>
      <c r="C76" s="82" t="s">
        <v>1953</v>
      </c>
      <c r="D76" s="61">
        <f>COUNTIFS(Pledges[Company],A76,Pledges[report year],B76)</f>
        <v>0</v>
      </c>
      <c r="E76" s="61"/>
    </row>
    <row r="77" ht="22.5" customHeight="1">
      <c r="A77" s="525" t="s">
        <v>1449</v>
      </c>
      <c r="B77" s="526">
        <v>2018.0</v>
      </c>
      <c r="C77" s="82" t="s">
        <v>1953</v>
      </c>
      <c r="D77" s="61">
        <f>COUNTIFS(Pledges[Company],A77,Pledges[report year],B77)</f>
        <v>0</v>
      </c>
      <c r="E77" s="61"/>
    </row>
    <row r="78" ht="22.5" customHeight="1">
      <c r="A78" s="524" t="s">
        <v>1449</v>
      </c>
      <c r="B78" s="517">
        <v>2019.0</v>
      </c>
      <c r="C78" s="82" t="s">
        <v>1953</v>
      </c>
      <c r="D78" s="61">
        <f>COUNTIFS(Pledges[Company],A78,Pledges[report year],B78)</f>
        <v>0</v>
      </c>
      <c r="E78" s="61"/>
    </row>
    <row r="79" ht="22.5" customHeight="1">
      <c r="A79" s="525" t="s">
        <v>1449</v>
      </c>
      <c r="B79" s="526">
        <v>2020.0</v>
      </c>
      <c r="C79" s="82" t="s">
        <v>1953</v>
      </c>
      <c r="D79" s="61">
        <f>COUNTIFS(Pledges[Company],A79,Pledges[report year],B79)</f>
        <v>0</v>
      </c>
      <c r="E79" s="61"/>
    </row>
    <row r="80" ht="22.5" customHeight="1">
      <c r="A80" s="512" t="s">
        <v>1449</v>
      </c>
      <c r="B80" s="513">
        <v>2021.0</v>
      </c>
      <c r="C80" s="83" t="s">
        <v>1950</v>
      </c>
      <c r="D80" s="83">
        <f>COUNTIFS(Pledges[Company],A80,Pledges[report year],B80)</f>
        <v>4</v>
      </c>
      <c r="E80" s="83"/>
    </row>
    <row r="81" ht="22.5" customHeight="1">
      <c r="A81" s="514" t="s">
        <v>1449</v>
      </c>
      <c r="B81" s="515">
        <v>2022.0</v>
      </c>
      <c r="C81" s="83" t="s">
        <v>1950</v>
      </c>
      <c r="D81" s="83">
        <f>COUNTIFS(Pledges[Company],A81,Pledges[report year],B81)</f>
        <v>1</v>
      </c>
      <c r="E81" s="83"/>
    </row>
    <row r="82" ht="22.5" customHeight="1">
      <c r="A82" s="512" t="s">
        <v>1449</v>
      </c>
      <c r="B82" s="513">
        <v>2023.0</v>
      </c>
      <c r="C82" s="83" t="s">
        <v>1950</v>
      </c>
      <c r="D82" s="83">
        <f>COUNTIFS(Pledges[Company],A82,Pledges[report year],B82)</f>
        <v>11</v>
      </c>
      <c r="E82" s="83"/>
    </row>
    <row r="83" ht="22.5" customHeight="1">
      <c r="A83" s="514" t="s">
        <v>1449</v>
      </c>
      <c r="B83" s="515">
        <v>2024.0</v>
      </c>
      <c r="C83" s="83" t="s">
        <v>1950</v>
      </c>
      <c r="D83" s="83">
        <f>COUNTIFS(Pledges[Company],A83,Pledges[report year],B83)</f>
        <v>10</v>
      </c>
      <c r="E83" s="83"/>
    </row>
    <row r="84" ht="22.5" customHeight="1">
      <c r="A84" s="512" t="s">
        <v>1449</v>
      </c>
      <c r="B84" s="513">
        <v>2024.0</v>
      </c>
      <c r="C84" s="83" t="s">
        <v>1950</v>
      </c>
      <c r="D84" s="83">
        <f>COUNTIFS(Pledges[Company],A84,Pledges[report year],B84)</f>
        <v>10</v>
      </c>
      <c r="E84" s="83"/>
    </row>
    <row r="85" ht="22.5" customHeight="1">
      <c r="A85" s="514" t="s">
        <v>140</v>
      </c>
      <c r="B85" s="515">
        <v>2006.0</v>
      </c>
      <c r="C85" s="83" t="s">
        <v>1953</v>
      </c>
      <c r="D85" s="83">
        <f>COUNTIFS(Pledges[Company],A85,Pledges[report year],B85)</f>
        <v>0</v>
      </c>
      <c r="E85" s="83"/>
    </row>
    <row r="86" ht="22.5" customHeight="1">
      <c r="A86" s="512" t="s">
        <v>140</v>
      </c>
      <c r="B86" s="513">
        <v>2007.0</v>
      </c>
      <c r="C86" s="83" t="s">
        <v>1953</v>
      </c>
      <c r="D86" s="83">
        <f>COUNTIFS(Pledges[Company],A86,Pledges[report year],B86)</f>
        <v>0</v>
      </c>
      <c r="E86" s="83"/>
    </row>
    <row r="87" ht="22.5" customHeight="1">
      <c r="A87" s="514" t="s">
        <v>140</v>
      </c>
      <c r="B87" s="515">
        <v>2008.0</v>
      </c>
      <c r="C87" s="83" t="s">
        <v>1953</v>
      </c>
      <c r="D87" s="83">
        <f>COUNTIFS(Pledges[Company],A87,Pledges[report year],B87)</f>
        <v>0</v>
      </c>
      <c r="E87" s="83"/>
    </row>
    <row r="88" ht="22.5" customHeight="1">
      <c r="A88" s="512" t="s">
        <v>140</v>
      </c>
      <c r="B88" s="513">
        <v>2009.0</v>
      </c>
      <c r="C88" s="83" t="s">
        <v>1953</v>
      </c>
      <c r="D88" s="83">
        <f>COUNTIFS(Pledges[Company],A88,Pledges[report year],B88)</f>
        <v>0</v>
      </c>
      <c r="E88" s="83"/>
    </row>
    <row r="89" ht="22.5" customHeight="1">
      <c r="A89" s="516" t="s">
        <v>140</v>
      </c>
      <c r="B89" s="511">
        <v>2010.0</v>
      </c>
      <c r="C89" s="82" t="s">
        <v>1953</v>
      </c>
      <c r="D89" s="61">
        <f>COUNTIFS(Pledges[Company],A89,Pledges[report year],B89)</f>
        <v>0</v>
      </c>
      <c r="E89" s="61"/>
    </row>
    <row r="90" ht="22.5" customHeight="1">
      <c r="A90" s="518" t="s">
        <v>140</v>
      </c>
      <c r="B90" s="510">
        <v>2011.0</v>
      </c>
      <c r="C90" s="83" t="s">
        <v>1953</v>
      </c>
      <c r="D90" s="83">
        <f>COUNTIFS(Pledges[Company],A90,Pledges[report year],B90)</f>
        <v>0</v>
      </c>
      <c r="E90" s="83"/>
    </row>
    <row r="91" ht="22.5" customHeight="1">
      <c r="A91" s="516" t="s">
        <v>140</v>
      </c>
      <c r="B91" s="511">
        <v>2012.0</v>
      </c>
      <c r="C91" s="83" t="s">
        <v>1953</v>
      </c>
      <c r="D91" s="83">
        <f>COUNTIFS(Pledges[Company],A91,Pledges[report year],B91)</f>
        <v>0</v>
      </c>
      <c r="E91" s="83"/>
    </row>
    <row r="92" ht="22.5" customHeight="1">
      <c r="A92" s="518" t="s">
        <v>140</v>
      </c>
      <c r="B92" s="510">
        <v>2013.0</v>
      </c>
      <c r="C92" s="83" t="s">
        <v>1953</v>
      </c>
      <c r="D92" s="83">
        <f>COUNTIFS(Pledges[Company],A92,Pledges[report year],B92)</f>
        <v>0</v>
      </c>
      <c r="E92" s="83"/>
    </row>
    <row r="93" ht="22.5" customHeight="1">
      <c r="A93" s="516" t="s">
        <v>140</v>
      </c>
      <c r="B93" s="511">
        <v>2014.0</v>
      </c>
      <c r="C93" s="83" t="s">
        <v>1953</v>
      </c>
      <c r="D93" s="83">
        <f>COUNTIFS(Pledges[Company],A93,Pledges[report year],B93)</f>
        <v>0</v>
      </c>
      <c r="E93" s="83"/>
    </row>
    <row r="94" ht="22.5" customHeight="1">
      <c r="A94" s="518" t="s">
        <v>140</v>
      </c>
      <c r="B94" s="510">
        <v>2015.0</v>
      </c>
      <c r="C94" s="83" t="s">
        <v>1952</v>
      </c>
      <c r="D94" s="83">
        <f>COUNTIFS(Pledges[Company],A94,Pledges[report year],B94)</f>
        <v>0</v>
      </c>
      <c r="E94" s="83"/>
    </row>
    <row r="95" ht="22.5" customHeight="1">
      <c r="A95" s="516" t="s">
        <v>140</v>
      </c>
      <c r="B95" s="511">
        <v>2016.0</v>
      </c>
      <c r="C95" s="83" t="s">
        <v>1952</v>
      </c>
      <c r="D95" s="83">
        <f>COUNTIFS(Pledges[Company],A95,Pledges[report year],B95)</f>
        <v>0</v>
      </c>
      <c r="E95" s="83"/>
    </row>
    <row r="96" ht="22.5" customHeight="1">
      <c r="A96" s="518" t="s">
        <v>140</v>
      </c>
      <c r="B96" s="510">
        <v>2017.0</v>
      </c>
      <c r="C96" s="83" t="s">
        <v>1952</v>
      </c>
      <c r="D96" s="83">
        <f>COUNTIFS(Pledges[Company],A96,Pledges[report year],B96)</f>
        <v>0</v>
      </c>
      <c r="E96" s="83"/>
    </row>
    <row r="97" ht="22.5" customHeight="1">
      <c r="A97" s="516" t="s">
        <v>140</v>
      </c>
      <c r="B97" s="511">
        <v>2018.0</v>
      </c>
      <c r="C97" s="83" t="s">
        <v>1952</v>
      </c>
      <c r="D97" s="83">
        <f>COUNTIFS(Pledges[Company],A97,Pledges[report year],B97)</f>
        <v>0</v>
      </c>
      <c r="E97" s="83"/>
    </row>
    <row r="98" ht="22.5" customHeight="1">
      <c r="A98" s="518" t="s">
        <v>140</v>
      </c>
      <c r="B98" s="510">
        <v>2019.0</v>
      </c>
      <c r="C98" s="83" t="s">
        <v>1952</v>
      </c>
      <c r="D98" s="83">
        <f>COUNTIFS(Pledges[Company],A98,Pledges[report year],B98)</f>
        <v>0</v>
      </c>
      <c r="E98" s="83"/>
    </row>
    <row r="99" ht="22.5" customHeight="1">
      <c r="A99" s="516" t="s">
        <v>140</v>
      </c>
      <c r="B99" s="511">
        <v>2020.0</v>
      </c>
      <c r="C99" s="83" t="s">
        <v>1950</v>
      </c>
      <c r="D99" s="83">
        <f>COUNTIFS(Pledges[Company],A99,Pledges[report year],B99)</f>
        <v>10</v>
      </c>
      <c r="E99" s="83"/>
    </row>
    <row r="100" ht="22.5" customHeight="1">
      <c r="A100" s="518" t="s">
        <v>140</v>
      </c>
      <c r="B100" s="510">
        <v>2021.0</v>
      </c>
      <c r="C100" s="83" t="s">
        <v>1950</v>
      </c>
      <c r="D100" s="83">
        <f>COUNTIFS(Pledges[Company],A100,Pledges[report year],B100)</f>
        <v>3</v>
      </c>
      <c r="E100" s="83"/>
    </row>
    <row r="101" ht="22.5" customHeight="1">
      <c r="A101" s="516" t="s">
        <v>140</v>
      </c>
      <c r="B101" s="511">
        <v>2022.0</v>
      </c>
      <c r="C101" s="83" t="s">
        <v>1950</v>
      </c>
      <c r="D101" s="83">
        <f>COUNTIFS(Pledges[Company],A101,Pledges[report year],B101)</f>
        <v>6</v>
      </c>
      <c r="E101" s="83"/>
    </row>
    <row r="102" ht="22.5" customHeight="1">
      <c r="A102" s="518" t="s">
        <v>140</v>
      </c>
      <c r="B102" s="510">
        <v>2023.0</v>
      </c>
      <c r="C102" s="83" t="s">
        <v>1950</v>
      </c>
      <c r="D102" s="83">
        <f>COUNTIFS(Pledges[Company],A102,Pledges[report year],B102)</f>
        <v>5</v>
      </c>
      <c r="E102" s="83"/>
    </row>
    <row r="103" ht="22.5" customHeight="1">
      <c r="A103" s="516" t="s">
        <v>140</v>
      </c>
      <c r="B103" s="511">
        <v>2024.0</v>
      </c>
      <c r="C103" s="83" t="s">
        <v>1950</v>
      </c>
      <c r="D103" s="83">
        <f>COUNTIFS(Pledges[Company],A103,Pledges[report year],B103)</f>
        <v>4</v>
      </c>
      <c r="E103" s="83"/>
    </row>
    <row r="104" ht="22.5" customHeight="1">
      <c r="A104" s="518" t="s">
        <v>140</v>
      </c>
      <c r="B104" s="510">
        <v>2005.0</v>
      </c>
      <c r="C104" s="82" t="s">
        <v>1953</v>
      </c>
      <c r="D104" s="61">
        <f>COUNTIFS(Pledges[Company],A104,Pledges[report year],B104)</f>
        <v>0</v>
      </c>
      <c r="E104" s="61" t="s">
        <v>1951</v>
      </c>
    </row>
    <row r="105" ht="22.5" customHeight="1">
      <c r="A105" s="516" t="s">
        <v>1866</v>
      </c>
      <c r="B105" s="527">
        <v>2005.0</v>
      </c>
      <c r="C105" s="83" t="s">
        <v>1953</v>
      </c>
      <c r="D105" s="83">
        <f>COUNTIFS(Pledges[Company],A105,Pledges[report year],B105)</f>
        <v>0</v>
      </c>
      <c r="E105" s="83"/>
    </row>
    <row r="106" ht="22.5" customHeight="1">
      <c r="A106" s="518" t="s">
        <v>1866</v>
      </c>
      <c r="B106" s="527">
        <v>2006.0</v>
      </c>
      <c r="C106" s="83" t="s">
        <v>1953</v>
      </c>
      <c r="D106" s="83">
        <f>COUNTIFS(Pledges[Company],A106,Pledges[report year],B106)</f>
        <v>0</v>
      </c>
      <c r="E106" s="83"/>
    </row>
    <row r="107" ht="22.5" customHeight="1">
      <c r="A107" s="516" t="s">
        <v>1866</v>
      </c>
      <c r="B107" s="527">
        <v>2007.0</v>
      </c>
      <c r="C107" s="83" t="s">
        <v>1953</v>
      </c>
      <c r="D107" s="83">
        <f>COUNTIFS(Pledges[Company],A107,Pledges[report year],B107)</f>
        <v>0</v>
      </c>
      <c r="E107" s="83"/>
    </row>
    <row r="108" ht="22.5" customHeight="1">
      <c r="A108" s="518" t="s">
        <v>1866</v>
      </c>
      <c r="B108" s="527">
        <v>2008.0</v>
      </c>
      <c r="C108" s="83" t="s">
        <v>1953</v>
      </c>
      <c r="D108" s="83">
        <f>COUNTIFS(Pledges[Company],A108,Pledges[report year],B108)</f>
        <v>0</v>
      </c>
      <c r="E108" s="83"/>
    </row>
    <row r="109" ht="22.5" customHeight="1">
      <c r="A109" s="516" t="s">
        <v>1866</v>
      </c>
      <c r="B109" s="527">
        <v>2009.0</v>
      </c>
      <c r="C109" s="83" t="s">
        <v>1953</v>
      </c>
      <c r="D109" s="523">
        <f>COUNTIFS(Pledges[Company],A109,Pledges[report year],B109)</f>
        <v>0</v>
      </c>
    </row>
    <row r="110" ht="22.5" customHeight="1">
      <c r="A110" s="518" t="s">
        <v>1866</v>
      </c>
      <c r="B110" s="527">
        <v>2010.0</v>
      </c>
      <c r="C110" s="83" t="s">
        <v>1953</v>
      </c>
      <c r="D110" s="83">
        <f>COUNTIFS(Pledges[Company],A110,Pledges[report year],B110)</f>
        <v>0</v>
      </c>
      <c r="E110" s="83"/>
    </row>
    <row r="111" ht="22.5" customHeight="1">
      <c r="A111" s="516" t="s">
        <v>1866</v>
      </c>
      <c r="B111" s="527">
        <v>2011.0</v>
      </c>
      <c r="C111" s="83" t="s">
        <v>1953</v>
      </c>
      <c r="D111" s="83">
        <f>COUNTIFS(Pledges[Company],A111,Pledges[report year],B111)</f>
        <v>0</v>
      </c>
      <c r="E111" s="83"/>
    </row>
    <row r="112" ht="22.5" customHeight="1">
      <c r="A112" s="518" t="s">
        <v>1866</v>
      </c>
      <c r="B112" s="521">
        <v>2012.0</v>
      </c>
      <c r="C112" s="83" t="s">
        <v>1953</v>
      </c>
      <c r="D112" s="83">
        <f>COUNTIFS(Pledges[Company],A112,Pledges[report year],B112)</f>
        <v>0</v>
      </c>
      <c r="E112" s="83"/>
    </row>
    <row r="113" ht="22.5" customHeight="1">
      <c r="A113" s="516" t="s">
        <v>1866</v>
      </c>
      <c r="B113" s="522">
        <v>2013.0</v>
      </c>
      <c r="C113" s="83" t="s">
        <v>1953</v>
      </c>
      <c r="D113" s="83">
        <f>COUNTIFS(Pledges[Company],A113,Pledges[report year],B113)</f>
        <v>0</v>
      </c>
      <c r="E113" s="83"/>
    </row>
    <row r="114" ht="22.5" customHeight="1">
      <c r="A114" s="518" t="s">
        <v>1866</v>
      </c>
      <c r="B114" s="521">
        <v>2014.0</v>
      </c>
      <c r="C114" s="83" t="s">
        <v>1953</v>
      </c>
      <c r="D114" s="83">
        <f>COUNTIFS(Pledges[Company],A114,Pledges[report year],B114)</f>
        <v>0</v>
      </c>
      <c r="E114" s="83"/>
    </row>
    <row r="115" ht="22.5" customHeight="1">
      <c r="A115" s="516" t="s">
        <v>1866</v>
      </c>
      <c r="B115" s="522">
        <v>2015.0</v>
      </c>
      <c r="C115" s="83" t="s">
        <v>1950</v>
      </c>
      <c r="D115" s="83">
        <f>COUNTIFS(Pledges[Company],A115,Pledges[report year],B115)</f>
        <v>2</v>
      </c>
      <c r="E115" s="83"/>
    </row>
    <row r="116" ht="22.5" customHeight="1">
      <c r="A116" s="518" t="s">
        <v>1866</v>
      </c>
      <c r="B116" s="521">
        <v>2016.0</v>
      </c>
      <c r="C116" s="83" t="s">
        <v>1953</v>
      </c>
      <c r="D116" s="83">
        <f>COUNTIFS(Pledges[Company],A116,Pledges[report year],B116)</f>
        <v>0</v>
      </c>
      <c r="E116" s="83"/>
    </row>
    <row r="117" ht="22.5" customHeight="1">
      <c r="A117" s="516" t="s">
        <v>1866</v>
      </c>
      <c r="B117" s="522">
        <v>2017.0</v>
      </c>
      <c r="C117" s="83" t="s">
        <v>1950</v>
      </c>
      <c r="D117" s="83">
        <f>COUNTIFS(Pledges[Company],A117,Pledges[report year],B117)</f>
        <v>2</v>
      </c>
      <c r="E117" s="83"/>
    </row>
    <row r="118" ht="22.5" customHeight="1">
      <c r="A118" s="518" t="s">
        <v>1866</v>
      </c>
      <c r="B118" s="521">
        <v>2018.0</v>
      </c>
      <c r="C118" s="83" t="s">
        <v>1953</v>
      </c>
      <c r="D118" s="83">
        <f>COUNTIFS(Pledges[Company],A118,Pledges[report year],B118)</f>
        <v>0</v>
      </c>
      <c r="E118" s="83"/>
    </row>
    <row r="119" ht="22.5" customHeight="1">
      <c r="A119" s="516" t="s">
        <v>1866</v>
      </c>
      <c r="B119" s="522">
        <v>2019.0</v>
      </c>
      <c r="C119" s="83" t="s">
        <v>1953</v>
      </c>
      <c r="D119" s="83">
        <f>COUNTIFS(Pledges[Company],A119,Pledges[report year],B119)</f>
        <v>0</v>
      </c>
      <c r="E119" s="83"/>
    </row>
    <row r="120" ht="22.5" customHeight="1">
      <c r="A120" s="518" t="s">
        <v>1866</v>
      </c>
      <c r="B120" s="521">
        <v>2020.0</v>
      </c>
      <c r="C120" s="83" t="s">
        <v>1953</v>
      </c>
      <c r="D120" s="83">
        <f>COUNTIFS(Pledges[Company],A120,Pledges[report year],B120)</f>
        <v>0</v>
      </c>
      <c r="E120" s="83"/>
    </row>
    <row r="121" ht="22.5" customHeight="1">
      <c r="A121" s="516" t="s">
        <v>1866</v>
      </c>
      <c r="B121" s="522">
        <v>2021.0</v>
      </c>
      <c r="C121" s="83" t="s">
        <v>1952</v>
      </c>
      <c r="D121" s="83">
        <f>COUNTIFS(Pledges[Company],A121,Pledges[report year],B121)</f>
        <v>0</v>
      </c>
      <c r="E121" s="83"/>
    </row>
    <row r="122" ht="22.5" customHeight="1">
      <c r="A122" s="518" t="s">
        <v>1866</v>
      </c>
      <c r="B122" s="521">
        <v>2022.0</v>
      </c>
      <c r="C122" s="83" t="s">
        <v>1950</v>
      </c>
      <c r="D122" s="83">
        <f>COUNTIFS(Pledges[Company],A122,Pledges[report year],B122)</f>
        <v>3</v>
      </c>
      <c r="E122" s="83"/>
    </row>
    <row r="123" ht="22.5" customHeight="1">
      <c r="A123" s="516" t="s">
        <v>1866</v>
      </c>
      <c r="B123" s="522">
        <v>2023.0</v>
      </c>
      <c r="C123" s="83" t="s">
        <v>1952</v>
      </c>
      <c r="D123" s="83">
        <f>COUNTIFS(Pledges[Company],A123,Pledges[report year],B123)</f>
        <v>0</v>
      </c>
      <c r="E123" s="83"/>
    </row>
    <row r="124" ht="22.5" customHeight="1">
      <c r="A124" s="518" t="s">
        <v>1866</v>
      </c>
      <c r="B124" s="521">
        <v>2024.0</v>
      </c>
      <c r="C124" s="83" t="s">
        <v>1952</v>
      </c>
      <c r="D124" s="83">
        <f>COUNTIFS(Pledges[Company],A124,Pledges[report year],B124)</f>
        <v>0</v>
      </c>
      <c r="E124" s="83"/>
    </row>
    <row r="125" ht="22.5" customHeight="1">
      <c r="A125" s="512" t="s">
        <v>1866</v>
      </c>
      <c r="B125" s="522">
        <v>2004.0</v>
      </c>
      <c r="C125" s="82" t="s">
        <v>1953</v>
      </c>
      <c r="D125" s="61">
        <f>COUNTIFS(Pledges[Company],A125,Pledges[report year],B125)</f>
        <v>0</v>
      </c>
      <c r="E125" s="61" t="s">
        <v>1951</v>
      </c>
    </row>
    <row r="126" ht="22.5" customHeight="1">
      <c r="A126" s="514" t="s">
        <v>152</v>
      </c>
      <c r="B126" s="515">
        <v>2004.0</v>
      </c>
      <c r="C126" s="83" t="s">
        <v>1953</v>
      </c>
      <c r="D126" s="83">
        <f>COUNTIFS(Pledges[Company],A126,Pledges[report year],B126)</f>
        <v>0</v>
      </c>
      <c r="E126" s="83"/>
    </row>
    <row r="127" ht="22.5" customHeight="1">
      <c r="A127" s="512" t="s">
        <v>152</v>
      </c>
      <c r="B127" s="513">
        <v>2005.0</v>
      </c>
      <c r="C127" s="83" t="s">
        <v>1953</v>
      </c>
      <c r="D127" s="83">
        <f>COUNTIFS(Pledges[Company],A127,Pledges[report year],B127)</f>
        <v>0</v>
      </c>
      <c r="E127" s="83"/>
    </row>
    <row r="128" ht="22.5" customHeight="1">
      <c r="A128" s="514" t="s">
        <v>152</v>
      </c>
      <c r="B128" s="515">
        <v>2006.0</v>
      </c>
      <c r="C128" s="83" t="s">
        <v>1953</v>
      </c>
      <c r="D128" s="523">
        <f>COUNTIFS(Pledges[Company],A128,Pledges[report year],B128)</f>
        <v>0</v>
      </c>
    </row>
    <row r="129" ht="22.5" customHeight="1">
      <c r="A129" s="518" t="s">
        <v>152</v>
      </c>
      <c r="B129" s="519">
        <v>2007.0</v>
      </c>
      <c r="C129" s="83" t="s">
        <v>1953</v>
      </c>
      <c r="D129" s="83">
        <f>COUNTIFS(Pledges[Company],A129,Pledges[report year],B129)</f>
        <v>0</v>
      </c>
      <c r="E129" s="83"/>
    </row>
    <row r="130" ht="22.5" customHeight="1">
      <c r="A130" s="514" t="s">
        <v>152</v>
      </c>
      <c r="B130" s="515">
        <v>2008.0</v>
      </c>
      <c r="C130" s="83" t="s">
        <v>1953</v>
      </c>
      <c r="D130" s="83">
        <f>COUNTIFS(Pledges[Company],A130,Pledges[report year],B130)</f>
        <v>0</v>
      </c>
      <c r="E130" s="83"/>
    </row>
    <row r="131" ht="22.5" customHeight="1">
      <c r="A131" s="518" t="s">
        <v>152</v>
      </c>
      <c r="B131" s="519">
        <v>2009.0</v>
      </c>
      <c r="C131" s="83" t="s">
        <v>1950</v>
      </c>
      <c r="D131" s="83">
        <f>COUNTIFS(Pledges[Company],A131,Pledges[report year],B131)</f>
        <v>3</v>
      </c>
      <c r="E131" s="83"/>
    </row>
    <row r="132" ht="22.5" customHeight="1">
      <c r="A132" s="514" t="s">
        <v>152</v>
      </c>
      <c r="B132" s="515">
        <v>2010.0</v>
      </c>
      <c r="C132" s="83" t="s">
        <v>1952</v>
      </c>
      <c r="D132" s="83">
        <f>COUNTIFS(Pledges[Company],A132,Pledges[report year],B132)</f>
        <v>0</v>
      </c>
      <c r="E132" s="83"/>
    </row>
    <row r="133" ht="22.5" customHeight="1">
      <c r="A133" s="512" t="s">
        <v>152</v>
      </c>
      <c r="B133" s="513">
        <v>2011.0</v>
      </c>
      <c r="C133" s="83" t="s">
        <v>1952</v>
      </c>
      <c r="D133" s="83">
        <f>COUNTIFS(Pledges[Company],A133,Pledges[report year],B133)</f>
        <v>0</v>
      </c>
      <c r="E133" s="83"/>
    </row>
    <row r="134" ht="22.5" customHeight="1">
      <c r="A134" s="514" t="s">
        <v>152</v>
      </c>
      <c r="B134" s="515">
        <v>2012.0</v>
      </c>
      <c r="C134" s="83" t="s">
        <v>1952</v>
      </c>
      <c r="D134" s="83">
        <f>COUNTIFS(Pledges[Company],A134,Pledges[report year],B134)</f>
        <v>0</v>
      </c>
      <c r="E134" s="83"/>
    </row>
    <row r="135" ht="22.5" customHeight="1">
      <c r="A135" s="518" t="s">
        <v>152</v>
      </c>
      <c r="B135" s="513">
        <v>2013.0</v>
      </c>
      <c r="C135" s="83" t="s">
        <v>1950</v>
      </c>
      <c r="D135" s="83">
        <f>COUNTIFS(Pledges[Company],A135,Pledges[report year],B135)</f>
        <v>6</v>
      </c>
      <c r="E135" s="83"/>
    </row>
    <row r="136" ht="22.5" customHeight="1">
      <c r="A136" s="514" t="s">
        <v>152</v>
      </c>
      <c r="B136" s="515">
        <v>2014.0</v>
      </c>
      <c r="C136" s="83" t="s">
        <v>1952</v>
      </c>
      <c r="D136" s="83">
        <f>COUNTIFS(Pledges[Company],A136,Pledges[report year],B136)</f>
        <v>0</v>
      </c>
      <c r="E136" s="83"/>
    </row>
    <row r="137" ht="22.5" customHeight="1">
      <c r="A137" s="518" t="s">
        <v>152</v>
      </c>
      <c r="B137" s="513">
        <v>2015.0</v>
      </c>
      <c r="C137" s="83" t="s">
        <v>1952</v>
      </c>
      <c r="D137" s="83">
        <f>COUNTIFS(Pledges[Company],A137,Pledges[report year],B137)</f>
        <v>0</v>
      </c>
      <c r="E137" s="83"/>
    </row>
    <row r="138" ht="22.5" customHeight="1">
      <c r="A138" s="514" t="s">
        <v>152</v>
      </c>
      <c r="B138" s="515">
        <v>2016.0</v>
      </c>
      <c r="C138" s="83" t="s">
        <v>1952</v>
      </c>
      <c r="D138" s="83">
        <f>COUNTIFS(Pledges[Company],A138,Pledges[report year],B138)</f>
        <v>0</v>
      </c>
      <c r="E138" s="83"/>
    </row>
    <row r="139" ht="22.5" customHeight="1">
      <c r="A139" s="518" t="s">
        <v>152</v>
      </c>
      <c r="B139" s="513">
        <v>2017.0</v>
      </c>
      <c r="C139" s="83" t="s">
        <v>1952</v>
      </c>
      <c r="D139" s="83">
        <f>COUNTIFS(Pledges[Company],A139,Pledges[report year],B139)</f>
        <v>0</v>
      </c>
      <c r="E139" s="83"/>
    </row>
    <row r="140" ht="22.5" customHeight="1">
      <c r="A140" s="514" t="s">
        <v>152</v>
      </c>
      <c r="B140" s="515">
        <v>2018.0</v>
      </c>
      <c r="C140" s="83" t="s">
        <v>1952</v>
      </c>
      <c r="D140" s="83">
        <f>COUNTIFS(Pledges[Company],A140,Pledges[report year],B140)</f>
        <v>0</v>
      </c>
      <c r="E140" s="83"/>
    </row>
    <row r="141" ht="22.5" customHeight="1">
      <c r="A141" s="518" t="s">
        <v>152</v>
      </c>
      <c r="B141" s="513">
        <v>2019.0</v>
      </c>
      <c r="C141" s="83" t="s">
        <v>1952</v>
      </c>
      <c r="D141" s="83">
        <f>COUNTIFS(Pledges[Company],A141,Pledges[report year],B141)</f>
        <v>0</v>
      </c>
      <c r="E141" s="83"/>
    </row>
    <row r="142" ht="22.5" customHeight="1">
      <c r="A142" s="518" t="s">
        <v>152</v>
      </c>
      <c r="B142" s="519">
        <v>2020.0</v>
      </c>
      <c r="C142" s="83" t="s">
        <v>1950</v>
      </c>
      <c r="D142" s="83">
        <f>COUNTIFS(Pledges[Company],A142,Pledges[report year],B142)</f>
        <v>18</v>
      </c>
      <c r="E142" s="83"/>
    </row>
    <row r="143" ht="22.5" customHeight="1">
      <c r="A143" s="514" t="s">
        <v>152</v>
      </c>
      <c r="B143" s="520">
        <v>2021.0</v>
      </c>
      <c r="C143" s="83" t="s">
        <v>1952</v>
      </c>
      <c r="D143" s="83">
        <f>COUNTIFS(Pledges[Company],A143,Pledges[report year],B143)</f>
        <v>0</v>
      </c>
      <c r="E143" s="83"/>
    </row>
    <row r="144" ht="22.5" customHeight="1">
      <c r="A144" s="518" t="s">
        <v>152</v>
      </c>
      <c r="B144" s="519">
        <v>2022.0</v>
      </c>
      <c r="C144" s="83" t="s">
        <v>1952</v>
      </c>
      <c r="D144" s="83">
        <f>COUNTIFS(Pledges[Company],A144,Pledges[report year],B144)</f>
        <v>0</v>
      </c>
      <c r="E144" s="83"/>
    </row>
    <row r="145" ht="22.5" customHeight="1">
      <c r="A145" s="514" t="s">
        <v>152</v>
      </c>
      <c r="B145" s="520">
        <v>2023.0</v>
      </c>
      <c r="C145" s="83" t="s">
        <v>1952</v>
      </c>
      <c r="D145" s="83">
        <f>COUNTIFS(Pledges[Company],A145,Pledges[report year],B145)</f>
        <v>0</v>
      </c>
      <c r="E145" s="83"/>
    </row>
    <row r="146" ht="22.5" customHeight="1">
      <c r="A146" s="518" t="s">
        <v>152</v>
      </c>
      <c r="B146" s="519">
        <v>2024.0</v>
      </c>
      <c r="C146" s="83" t="s">
        <v>1950</v>
      </c>
      <c r="D146" s="83">
        <f>COUNTIFS(Pledges[Company],A146,Pledges[report year],B146)</f>
        <v>6</v>
      </c>
      <c r="E146" s="83"/>
    </row>
    <row r="147" ht="22.5" customHeight="1">
      <c r="A147" s="518" t="s">
        <v>152</v>
      </c>
      <c r="B147" s="513">
        <v>2003.0</v>
      </c>
      <c r="C147" s="82" t="s">
        <v>1953</v>
      </c>
      <c r="D147" s="61">
        <f>COUNTIFS(Pledges[Company],A147,Pledges[report year],B147)</f>
        <v>0</v>
      </c>
      <c r="E147" s="61" t="s">
        <v>1951</v>
      </c>
    </row>
    <row r="148" ht="22.5" customHeight="1">
      <c r="A148" s="518" t="s">
        <v>144</v>
      </c>
      <c r="B148" s="521">
        <v>2003.0</v>
      </c>
      <c r="C148" s="83" t="s">
        <v>1953</v>
      </c>
      <c r="D148" s="523">
        <f>COUNTIFS(Pledges[Company],A148,Pledges[report year],B148)</f>
        <v>0</v>
      </c>
    </row>
    <row r="149" ht="22.5" customHeight="1">
      <c r="A149" s="514" t="s">
        <v>144</v>
      </c>
      <c r="B149" s="521">
        <v>2004.0</v>
      </c>
      <c r="C149" s="82" t="s">
        <v>1953</v>
      </c>
      <c r="D149" s="61">
        <f>COUNTIFS(Pledges[Company],A149,Pledges[report year],B149)</f>
        <v>0</v>
      </c>
      <c r="E149" s="61"/>
    </row>
    <row r="150" ht="22.5" customHeight="1">
      <c r="A150" s="512" t="s">
        <v>144</v>
      </c>
      <c r="B150" s="522">
        <v>2005.0</v>
      </c>
      <c r="C150" s="82" t="s">
        <v>1953</v>
      </c>
      <c r="D150" s="61">
        <f>COUNTIFS(Pledges[Company],A150,Pledges[report year],B150)</f>
        <v>0</v>
      </c>
      <c r="E150" s="61"/>
    </row>
    <row r="151" ht="22.5" customHeight="1">
      <c r="A151" s="514" t="s">
        <v>144</v>
      </c>
      <c r="B151" s="521">
        <v>2006.0</v>
      </c>
      <c r="C151" s="82" t="s">
        <v>1953</v>
      </c>
      <c r="D151" s="61">
        <f>COUNTIFS(Pledges[Company],A151,Pledges[report year],B151)</f>
        <v>0</v>
      </c>
      <c r="E151" s="61"/>
    </row>
    <row r="152" ht="22.5" customHeight="1">
      <c r="A152" s="512" t="s">
        <v>144</v>
      </c>
      <c r="B152" s="522">
        <v>2007.0</v>
      </c>
      <c r="C152" s="82" t="s">
        <v>1953</v>
      </c>
      <c r="D152" s="61">
        <f>COUNTIFS(Pledges[Company],A152,Pledges[report year],B152)</f>
        <v>0</v>
      </c>
      <c r="E152" s="61"/>
    </row>
    <row r="153" ht="22.5" customHeight="1">
      <c r="A153" s="514" t="s">
        <v>144</v>
      </c>
      <c r="B153" s="521">
        <v>2008.0</v>
      </c>
      <c r="C153" s="83" t="s">
        <v>1953</v>
      </c>
      <c r="D153" s="523">
        <f>COUNTIFS(Pledges[Company],A153,Pledges[report year],B153)</f>
        <v>0</v>
      </c>
    </row>
    <row r="154" ht="22.5" customHeight="1">
      <c r="A154" s="512" t="s">
        <v>144</v>
      </c>
      <c r="B154" s="522">
        <v>2009.0</v>
      </c>
      <c r="C154" s="82" t="s">
        <v>1953</v>
      </c>
      <c r="D154" s="61">
        <f>COUNTIFS(Pledges[Company],A154,Pledges[report year],B154)</f>
        <v>0</v>
      </c>
      <c r="E154" s="61"/>
    </row>
    <row r="155" ht="22.5" customHeight="1">
      <c r="A155" s="514" t="s">
        <v>144</v>
      </c>
      <c r="B155" s="521">
        <v>2010.0</v>
      </c>
      <c r="C155" s="82" t="s">
        <v>1953</v>
      </c>
      <c r="D155" s="61">
        <f>COUNTIFS(Pledges[Company],A155,Pledges[report year],B155)</f>
        <v>0</v>
      </c>
      <c r="E155" s="61"/>
    </row>
    <row r="156" ht="22.5" customHeight="1">
      <c r="A156" s="512" t="s">
        <v>144</v>
      </c>
      <c r="B156" s="522">
        <v>2011.0</v>
      </c>
      <c r="C156" s="82" t="s">
        <v>1953</v>
      </c>
      <c r="D156" s="61">
        <f>COUNTIFS(Pledges[Company],A156,Pledges[report year],B156)</f>
        <v>0</v>
      </c>
      <c r="E156" s="61"/>
    </row>
    <row r="157" ht="22.5" customHeight="1">
      <c r="A157" s="516" t="s">
        <v>144</v>
      </c>
      <c r="B157" s="522">
        <v>2012.0</v>
      </c>
      <c r="C157" s="82" t="s">
        <v>1953</v>
      </c>
      <c r="D157" s="61">
        <f>COUNTIFS(Pledges[Company],A157,Pledges[report year],B157)</f>
        <v>1</v>
      </c>
      <c r="E157" s="61"/>
    </row>
    <row r="158" ht="22.5" customHeight="1">
      <c r="A158" s="518" t="s">
        <v>144</v>
      </c>
      <c r="B158" s="527">
        <v>2013.0</v>
      </c>
      <c r="C158" s="83" t="s">
        <v>1950</v>
      </c>
      <c r="D158" s="523">
        <f>COUNTIFS(Pledges[Company],A158,Pledges[report year],B158)</f>
        <v>2</v>
      </c>
    </row>
    <row r="159" ht="22.5" customHeight="1">
      <c r="A159" s="516" t="s">
        <v>144</v>
      </c>
      <c r="B159" s="527">
        <v>2014.0</v>
      </c>
      <c r="C159" s="83" t="s">
        <v>1950</v>
      </c>
      <c r="D159" s="83">
        <f>COUNTIFS(Pledges[Company],A159,Pledges[report year],B159)</f>
        <v>1</v>
      </c>
      <c r="E159" s="83"/>
    </row>
    <row r="160" ht="22.5" customHeight="1">
      <c r="A160" s="518" t="s">
        <v>144</v>
      </c>
      <c r="B160" s="527">
        <v>2015.0</v>
      </c>
      <c r="C160" s="83" t="s">
        <v>1952</v>
      </c>
      <c r="D160" s="83">
        <f>COUNTIFS(Pledges[Company],A160,Pledges[report year],B160)</f>
        <v>0</v>
      </c>
      <c r="E160" s="83"/>
    </row>
    <row r="161" ht="22.5" customHeight="1">
      <c r="A161" s="516" t="s">
        <v>144</v>
      </c>
      <c r="B161" s="527">
        <v>2016.0</v>
      </c>
      <c r="C161" s="83" t="s">
        <v>1952</v>
      </c>
      <c r="D161" s="83">
        <f>COUNTIFS(Pledges[Company],A161,Pledges[report year],B161)</f>
        <v>0</v>
      </c>
      <c r="E161" s="83"/>
    </row>
    <row r="162" ht="22.5" customHeight="1">
      <c r="A162" s="518" t="s">
        <v>144</v>
      </c>
      <c r="B162" s="527">
        <v>2017.0</v>
      </c>
      <c r="C162" s="83" t="s">
        <v>1950</v>
      </c>
      <c r="D162" s="83">
        <f>COUNTIFS(Pledges[Company],A162,Pledges[report year],B162)</f>
        <v>2</v>
      </c>
      <c r="E162" s="83"/>
    </row>
    <row r="163" ht="22.5" customHeight="1">
      <c r="A163" s="516" t="s">
        <v>144</v>
      </c>
      <c r="B163" s="527">
        <v>2018.0</v>
      </c>
      <c r="C163" s="83" t="s">
        <v>1952</v>
      </c>
      <c r="D163" s="83">
        <f>COUNTIFS(Pledges[Company],A163,Pledges[report year],B163)</f>
        <v>0</v>
      </c>
      <c r="E163" s="83"/>
    </row>
    <row r="164" ht="22.5" customHeight="1">
      <c r="A164" s="518" t="s">
        <v>144</v>
      </c>
      <c r="B164" s="527">
        <v>2019.0</v>
      </c>
      <c r="C164" s="83" t="s">
        <v>1950</v>
      </c>
      <c r="D164" s="83">
        <f>COUNTIFS(Pledges[Company],A164,Pledges[report year],B164)</f>
        <v>4</v>
      </c>
      <c r="E164" s="83"/>
    </row>
    <row r="165" ht="22.5" customHeight="1">
      <c r="A165" s="516" t="s">
        <v>144</v>
      </c>
      <c r="B165" s="527">
        <v>2020.0</v>
      </c>
      <c r="C165" s="83" t="s">
        <v>1952</v>
      </c>
      <c r="D165" s="83">
        <f>COUNTIFS(Pledges[Company],A165,Pledges[report year],B165)</f>
        <v>0</v>
      </c>
      <c r="E165" s="83"/>
    </row>
    <row r="166" ht="22.5" customHeight="1">
      <c r="A166" s="518" t="s">
        <v>144</v>
      </c>
      <c r="B166" s="527">
        <v>2021.0</v>
      </c>
      <c r="C166" s="83" t="s">
        <v>1953</v>
      </c>
      <c r="D166" s="83">
        <f>COUNTIFS(Pledges[Company],A166,Pledges[report year],B166)</f>
        <v>4</v>
      </c>
      <c r="E166" s="83"/>
    </row>
    <row r="167" ht="22.5" customHeight="1">
      <c r="A167" s="516" t="s">
        <v>144</v>
      </c>
      <c r="B167" s="527">
        <v>2022.0</v>
      </c>
      <c r="C167" s="83" t="s">
        <v>1950</v>
      </c>
      <c r="D167" s="83">
        <f>COUNTIFS(Pledges[Company],A167,Pledges[report year],B167)</f>
        <v>1</v>
      </c>
      <c r="E167" s="83"/>
    </row>
    <row r="168" ht="22.5" customHeight="1">
      <c r="A168" s="518" t="s">
        <v>144</v>
      </c>
      <c r="B168" s="527">
        <v>2023.0</v>
      </c>
      <c r="C168" s="83" t="s">
        <v>1950</v>
      </c>
      <c r="D168" s="83">
        <f>COUNTIFS(Pledges[Company],A168,Pledges[report year],B168)</f>
        <v>6</v>
      </c>
      <c r="E168" s="83"/>
    </row>
    <row r="169" ht="22.5" customHeight="1">
      <c r="A169" s="516" t="s">
        <v>144</v>
      </c>
      <c r="B169" s="527">
        <v>2024.0</v>
      </c>
      <c r="C169" s="83" t="s">
        <v>1950</v>
      </c>
      <c r="D169" s="83">
        <f>COUNTIFS(Pledges[Company],A169,Pledges[report year],B169)</f>
        <v>1</v>
      </c>
      <c r="E169" s="83"/>
    </row>
    <row r="170" ht="22.5" customHeight="1">
      <c r="A170" s="514" t="s">
        <v>144</v>
      </c>
      <c r="B170" s="527">
        <v>2002.0</v>
      </c>
      <c r="C170" s="82" t="s">
        <v>1953</v>
      </c>
      <c r="D170" s="61">
        <f>COUNTIFS(Pledges[Company],A170,Pledges[report year],B170)</f>
        <v>0</v>
      </c>
      <c r="E170" s="61" t="s">
        <v>1951</v>
      </c>
    </row>
    <row r="171" ht="22.5" customHeight="1">
      <c r="A171" s="512" t="s">
        <v>132</v>
      </c>
      <c r="B171" s="510">
        <v>2003.0</v>
      </c>
      <c r="C171" s="83" t="s">
        <v>1950</v>
      </c>
      <c r="D171" s="83">
        <f>COUNTIFS(Pledges[Company],A171,Pledges[report year],B171)</f>
        <v>2</v>
      </c>
      <c r="E171" s="83"/>
    </row>
    <row r="172" ht="22.5" customHeight="1">
      <c r="A172" s="514" t="s">
        <v>132</v>
      </c>
      <c r="B172" s="511">
        <v>2004.0</v>
      </c>
      <c r="C172" s="83" t="s">
        <v>1950</v>
      </c>
      <c r="D172" s="83">
        <f>COUNTIFS(Pledges[Company],A172,Pledges[report year],B172)</f>
        <v>2</v>
      </c>
      <c r="E172" s="83"/>
    </row>
    <row r="173" ht="22.5" customHeight="1">
      <c r="A173" s="512" t="s">
        <v>132</v>
      </c>
      <c r="B173" s="510">
        <v>2005.0</v>
      </c>
      <c r="C173" s="83" t="s">
        <v>1952</v>
      </c>
      <c r="D173" s="83">
        <f>COUNTIFS(Pledges[Company],A173,Pledges[report year],B173)</f>
        <v>0</v>
      </c>
      <c r="E173" s="83"/>
    </row>
    <row r="174" ht="22.5" customHeight="1">
      <c r="A174" s="514" t="s">
        <v>132</v>
      </c>
      <c r="B174" s="511">
        <v>2006.0</v>
      </c>
      <c r="C174" s="83" t="s">
        <v>1950</v>
      </c>
      <c r="D174" s="83">
        <f>COUNTIFS(Pledges[Company],A174,Pledges[report year],B174)</f>
        <v>4</v>
      </c>
      <c r="E174" s="83"/>
    </row>
    <row r="175" ht="22.5" customHeight="1">
      <c r="A175" s="512" t="s">
        <v>132</v>
      </c>
      <c r="B175" s="510">
        <v>2007.0</v>
      </c>
      <c r="C175" s="83" t="s">
        <v>1950</v>
      </c>
      <c r="D175" s="83">
        <f>COUNTIFS(Pledges[Company],A175,Pledges[report year],B175)</f>
        <v>2</v>
      </c>
      <c r="E175" s="83"/>
    </row>
    <row r="176" ht="22.5" customHeight="1">
      <c r="A176" s="514" t="s">
        <v>132</v>
      </c>
      <c r="B176" s="511">
        <v>2008.0</v>
      </c>
      <c r="C176" s="83" t="s">
        <v>1950</v>
      </c>
      <c r="D176" s="83">
        <f>COUNTIFS(Pledges[Company],A176,Pledges[report year],B176)</f>
        <v>5</v>
      </c>
      <c r="E176" s="83"/>
    </row>
    <row r="177" ht="22.5" customHeight="1">
      <c r="A177" s="512" t="s">
        <v>132</v>
      </c>
      <c r="B177" s="510">
        <v>2009.0</v>
      </c>
      <c r="C177" s="83" t="s">
        <v>1950</v>
      </c>
      <c r="D177" s="83">
        <f>COUNTIFS(Pledges[Company],A177,Pledges[report year],B177)</f>
        <v>6</v>
      </c>
      <c r="E177" s="83"/>
    </row>
    <row r="178" ht="22.5" customHeight="1">
      <c r="A178" s="514" t="s">
        <v>132</v>
      </c>
      <c r="B178" s="511">
        <v>2010.0</v>
      </c>
      <c r="C178" s="83" t="s">
        <v>1950</v>
      </c>
      <c r="D178" s="83">
        <f>COUNTIFS(Pledges[Company],A178,Pledges[report year],B178)</f>
        <v>3</v>
      </c>
      <c r="E178" s="83"/>
    </row>
    <row r="179" ht="22.5" customHeight="1">
      <c r="A179" s="512" t="s">
        <v>132</v>
      </c>
      <c r="B179" s="513">
        <v>2011.0</v>
      </c>
      <c r="C179" s="83" t="s">
        <v>1950</v>
      </c>
      <c r="D179" s="83">
        <f>COUNTIFS(Pledges[Company],A179,Pledges[report year],B179)</f>
        <v>5</v>
      </c>
      <c r="E179" s="83"/>
    </row>
    <row r="180" ht="22.5" customHeight="1">
      <c r="A180" s="514" t="s">
        <v>132</v>
      </c>
      <c r="B180" s="515">
        <v>2012.0</v>
      </c>
      <c r="C180" s="83" t="s">
        <v>1950</v>
      </c>
      <c r="D180" s="83">
        <f>COUNTIFS(Pledges[Company],A180,Pledges[report year],B180)</f>
        <v>2</v>
      </c>
      <c r="E180" s="83"/>
    </row>
    <row r="181" ht="22.5" customHeight="1">
      <c r="A181" s="512" t="s">
        <v>132</v>
      </c>
      <c r="B181" s="513">
        <v>2013.0</v>
      </c>
      <c r="C181" s="83" t="s">
        <v>1950</v>
      </c>
      <c r="D181" s="83">
        <f>COUNTIFS(Pledges[Company],A181,Pledges[report year],B181)</f>
        <v>4</v>
      </c>
      <c r="E181" s="83"/>
    </row>
    <row r="182" ht="22.5" customHeight="1">
      <c r="A182" s="514" t="s">
        <v>132</v>
      </c>
      <c r="B182" s="515">
        <v>2014.0</v>
      </c>
      <c r="C182" s="83" t="s">
        <v>1950</v>
      </c>
      <c r="D182" s="83">
        <f>COUNTIFS(Pledges[Company],A182,Pledges[report year],B182)</f>
        <v>5</v>
      </c>
      <c r="E182" s="83"/>
    </row>
    <row r="183" ht="22.5" customHeight="1">
      <c r="A183" s="512" t="s">
        <v>132</v>
      </c>
      <c r="B183" s="513">
        <v>2015.0</v>
      </c>
      <c r="C183" s="83" t="s">
        <v>1952</v>
      </c>
      <c r="D183" s="83">
        <f>COUNTIFS(Pledges[Company],A183,Pledges[report year],B183)</f>
        <v>0</v>
      </c>
      <c r="E183" s="83"/>
    </row>
    <row r="184" ht="22.5" customHeight="1">
      <c r="A184" s="514" t="s">
        <v>132</v>
      </c>
      <c r="B184" s="515">
        <v>2016.0</v>
      </c>
      <c r="C184" s="83" t="s">
        <v>1950</v>
      </c>
      <c r="D184" s="83">
        <f>COUNTIFS(Pledges[Company],A184,Pledges[report year],B184)</f>
        <v>8</v>
      </c>
      <c r="E184" s="83"/>
    </row>
    <row r="185" ht="22.5" customHeight="1">
      <c r="A185" s="512" t="s">
        <v>132</v>
      </c>
      <c r="B185" s="513">
        <v>2017.0</v>
      </c>
      <c r="C185" s="83" t="s">
        <v>1952</v>
      </c>
      <c r="D185" s="83">
        <f>COUNTIFS(Pledges[Company],A185,Pledges[report year],B185)</f>
        <v>0</v>
      </c>
      <c r="E185" s="83"/>
    </row>
    <row r="186" ht="22.5" customHeight="1">
      <c r="A186" s="514" t="s">
        <v>132</v>
      </c>
      <c r="B186" s="515">
        <v>2018.0</v>
      </c>
      <c r="C186" s="83" t="s">
        <v>1950</v>
      </c>
      <c r="D186" s="83">
        <f>COUNTIFS(Pledges[Company],A186,Pledges[report year],B186)</f>
        <v>1</v>
      </c>
      <c r="E186" s="83"/>
    </row>
    <row r="187" ht="22.5" customHeight="1">
      <c r="A187" s="512" t="s">
        <v>132</v>
      </c>
      <c r="B187" s="513">
        <v>2019.0</v>
      </c>
      <c r="C187" s="83" t="s">
        <v>1950</v>
      </c>
      <c r="D187" s="83">
        <f>COUNTIFS(Pledges[Company],A187,Pledges[report year],B187)</f>
        <v>10</v>
      </c>
      <c r="E187" s="83"/>
    </row>
    <row r="188" ht="22.5" customHeight="1">
      <c r="A188" s="514" t="s">
        <v>132</v>
      </c>
      <c r="B188" s="515">
        <v>2020.0</v>
      </c>
      <c r="C188" s="83" t="s">
        <v>1950</v>
      </c>
      <c r="D188" s="83">
        <f>COUNTIFS(Pledges[Company],A188,Pledges[report year],B188)</f>
        <v>1</v>
      </c>
      <c r="E188" s="83"/>
    </row>
    <row r="189" ht="22.5" customHeight="1">
      <c r="A189" s="512" t="s">
        <v>132</v>
      </c>
      <c r="B189" s="513">
        <v>2021.0</v>
      </c>
      <c r="C189" s="83" t="s">
        <v>1950</v>
      </c>
      <c r="D189" s="83">
        <f>COUNTIFS(Pledges[Company],A189,Pledges[report year],B189)</f>
        <v>1</v>
      </c>
      <c r="E189" s="83"/>
    </row>
    <row r="190" ht="22.5" customHeight="1">
      <c r="A190" s="518" t="s">
        <v>132</v>
      </c>
      <c r="B190" s="519">
        <v>2022.0</v>
      </c>
      <c r="C190" s="83" t="s">
        <v>1950</v>
      </c>
      <c r="D190" s="83">
        <f>COUNTIFS(Pledges[Company],A190,Pledges[report year],B190)</f>
        <v>2</v>
      </c>
      <c r="E190" s="83"/>
    </row>
    <row r="191" ht="22.5" customHeight="1">
      <c r="A191" s="516" t="s">
        <v>132</v>
      </c>
      <c r="B191" s="520">
        <v>2023.0</v>
      </c>
      <c r="C191" s="83" t="s">
        <v>1950</v>
      </c>
      <c r="D191" s="83">
        <f>COUNTIFS(Pledges[Company],A191,Pledges[report year],B191)</f>
        <v>2</v>
      </c>
      <c r="E191" s="83"/>
    </row>
    <row r="192" ht="22.5" customHeight="1">
      <c r="A192" s="514" t="s">
        <v>132</v>
      </c>
      <c r="B192" s="515">
        <v>2024.0</v>
      </c>
      <c r="C192" s="83" t="s">
        <v>1950</v>
      </c>
      <c r="D192" s="83">
        <f>COUNTIFS(Pledges[Company],A192,Pledges[report year],B192)</f>
        <v>2</v>
      </c>
      <c r="E192" s="83"/>
    </row>
    <row r="193" ht="22.5" customHeight="1">
      <c r="A193" s="516" t="s">
        <v>132</v>
      </c>
      <c r="B193" s="520">
        <v>2002.0</v>
      </c>
      <c r="C193" s="82" t="s">
        <v>1950</v>
      </c>
      <c r="D193" s="61">
        <f>COUNTIFS(Pledges[Company],A193,Pledges[report year],B193)</f>
        <v>3</v>
      </c>
      <c r="E193" s="61" t="s">
        <v>1951</v>
      </c>
    </row>
    <row r="194" ht="22.5" customHeight="1">
      <c r="A194" s="514" t="s">
        <v>159</v>
      </c>
      <c r="B194" s="515">
        <v>2002.0</v>
      </c>
      <c r="C194" s="83" t="s">
        <v>1953</v>
      </c>
      <c r="D194" s="83">
        <f>COUNTIFS(Pledges[Company],A194,Pledges[report year],B194)</f>
        <v>0</v>
      </c>
      <c r="E194" s="83"/>
    </row>
    <row r="195" ht="22.5" customHeight="1">
      <c r="A195" s="512" t="s">
        <v>159</v>
      </c>
      <c r="B195" s="513">
        <v>2003.0</v>
      </c>
      <c r="C195" s="83" t="s">
        <v>1953</v>
      </c>
      <c r="D195" s="523">
        <f>COUNTIFS(Pledges[Company],A195,Pledges[report year],B195)</f>
        <v>0</v>
      </c>
    </row>
    <row r="196" ht="22.5" customHeight="1">
      <c r="A196" s="514" t="s">
        <v>159</v>
      </c>
      <c r="B196" s="515">
        <v>2004.0</v>
      </c>
      <c r="C196" s="83" t="s">
        <v>1953</v>
      </c>
      <c r="D196" s="83">
        <f>COUNTIFS(Pledges[Company],A196,Pledges[report year],B196)</f>
        <v>0</v>
      </c>
      <c r="E196" s="83"/>
    </row>
    <row r="197" ht="22.5" customHeight="1">
      <c r="A197" s="512" t="s">
        <v>159</v>
      </c>
      <c r="B197" s="513">
        <v>2005.0</v>
      </c>
      <c r="C197" s="83" t="s">
        <v>1953</v>
      </c>
      <c r="D197" s="83">
        <f>COUNTIFS(Pledges[Company],A197,Pledges[report year],B197)</f>
        <v>0</v>
      </c>
      <c r="E197" s="83"/>
    </row>
    <row r="198" ht="22.5" customHeight="1">
      <c r="A198" s="479" t="s">
        <v>159</v>
      </c>
      <c r="B198" s="511">
        <v>2006.0</v>
      </c>
      <c r="C198" s="83" t="s">
        <v>1953</v>
      </c>
      <c r="D198" s="523">
        <f>COUNTIFS(Pledges[Company],A198,Pledges[report year],B198)</f>
        <v>0</v>
      </c>
    </row>
    <row r="199" ht="22.5" customHeight="1">
      <c r="A199" s="476" t="s">
        <v>159</v>
      </c>
      <c r="B199" s="510">
        <v>2007.0</v>
      </c>
      <c r="C199" s="83" t="s">
        <v>1953</v>
      </c>
      <c r="D199" s="83">
        <f>COUNTIFS(Pledges[Company],A199,Pledges[report year],B199)</f>
        <v>0</v>
      </c>
      <c r="E199" s="83"/>
    </row>
    <row r="200" ht="22.5" customHeight="1">
      <c r="A200" s="479" t="s">
        <v>159</v>
      </c>
      <c r="B200" s="511">
        <v>2008.0</v>
      </c>
      <c r="C200" s="83" t="s">
        <v>1953</v>
      </c>
      <c r="D200" s="83">
        <f>COUNTIFS(Pledges[Company],A200,Pledges[report year],B200)</f>
        <v>0</v>
      </c>
      <c r="E200" s="83"/>
    </row>
    <row r="201" ht="22.5" customHeight="1">
      <c r="A201" s="476" t="s">
        <v>159</v>
      </c>
      <c r="B201" s="510">
        <v>2009.0</v>
      </c>
      <c r="C201" s="83" t="s">
        <v>1953</v>
      </c>
      <c r="D201" s="83">
        <f>COUNTIFS(Pledges[Company],A201,Pledges[report year],B201)</f>
        <v>0</v>
      </c>
      <c r="E201" s="83"/>
    </row>
    <row r="202" ht="22.5" customHeight="1">
      <c r="A202" s="479" t="s">
        <v>159</v>
      </c>
      <c r="B202" s="511">
        <v>2010.0</v>
      </c>
      <c r="C202" s="83" t="s">
        <v>1953</v>
      </c>
      <c r="D202" s="83">
        <f>COUNTIFS(Pledges[Company],A202,Pledges[report year],B202)</f>
        <v>0</v>
      </c>
      <c r="E202" s="83"/>
    </row>
    <row r="203" ht="22.5" customHeight="1">
      <c r="A203" s="476" t="s">
        <v>159</v>
      </c>
      <c r="B203" s="510">
        <v>2011.0</v>
      </c>
      <c r="C203" s="83" t="s">
        <v>1953</v>
      </c>
      <c r="D203" s="83">
        <f>COUNTIFS(Pledges[Company],A203,Pledges[report year],B203)</f>
        <v>0</v>
      </c>
      <c r="E203" s="83"/>
    </row>
    <row r="204" ht="22.5" customHeight="1">
      <c r="A204" s="479" t="s">
        <v>159</v>
      </c>
      <c r="B204" s="511">
        <v>2012.0</v>
      </c>
      <c r="C204" s="83" t="s">
        <v>1953</v>
      </c>
      <c r="D204" s="83">
        <f>COUNTIFS(Pledges[Company],A204,Pledges[report year],B204)</f>
        <v>0</v>
      </c>
      <c r="E204" s="83"/>
    </row>
    <row r="205" ht="22.5" customHeight="1">
      <c r="A205" s="476" t="s">
        <v>159</v>
      </c>
      <c r="B205" s="510">
        <v>2013.0</v>
      </c>
      <c r="C205" s="83" t="s">
        <v>1953</v>
      </c>
      <c r="D205" s="83">
        <f>COUNTIFS(Pledges[Company],A205,Pledges[report year],B205)</f>
        <v>0</v>
      </c>
      <c r="E205" s="83"/>
    </row>
    <row r="206" ht="22.5" customHeight="1">
      <c r="A206" s="514" t="s">
        <v>159</v>
      </c>
      <c r="B206" s="515">
        <v>2014.0</v>
      </c>
      <c r="C206" s="83" t="s">
        <v>1953</v>
      </c>
      <c r="D206" s="83">
        <f>COUNTIFS(Pledges[Company],A206,Pledges[report year],B206)</f>
        <v>0</v>
      </c>
      <c r="E206" s="83"/>
    </row>
    <row r="207" ht="22.5" customHeight="1">
      <c r="A207" s="512" t="s">
        <v>159</v>
      </c>
      <c r="B207" s="513">
        <v>2015.0</v>
      </c>
      <c r="C207" s="83" t="s">
        <v>1953</v>
      </c>
      <c r="D207" s="83">
        <f>COUNTIFS(Pledges[Company],A207,Pledges[report year],B207)</f>
        <v>0</v>
      </c>
      <c r="E207" s="83"/>
    </row>
    <row r="208" ht="22.5" customHeight="1">
      <c r="A208" s="514" t="s">
        <v>159</v>
      </c>
      <c r="B208" s="515">
        <v>2016.0</v>
      </c>
      <c r="C208" s="83" t="s">
        <v>1950</v>
      </c>
      <c r="D208" s="83">
        <f>COUNTIFS(Pledges[Company],A208,Pledges[report year],B208)</f>
        <v>13</v>
      </c>
      <c r="E208" s="83"/>
    </row>
    <row r="209" ht="22.5" customHeight="1">
      <c r="A209" s="512" t="s">
        <v>159</v>
      </c>
      <c r="B209" s="513">
        <v>2017.0</v>
      </c>
      <c r="C209" s="83" t="s">
        <v>1950</v>
      </c>
      <c r="D209" s="83">
        <f>COUNTIFS(Pledges[Company],A209,Pledges[report year],B209)</f>
        <v>4</v>
      </c>
      <c r="E209" s="83"/>
    </row>
    <row r="210" ht="22.5" customHeight="1">
      <c r="A210" s="514" t="s">
        <v>159</v>
      </c>
      <c r="B210" s="515">
        <v>2018.0</v>
      </c>
      <c r="C210" s="83" t="s">
        <v>1950</v>
      </c>
      <c r="D210" s="83">
        <f>COUNTIFS(Pledges[Company],A210,Pledges[report year],B210)</f>
        <v>1</v>
      </c>
      <c r="E210" s="83"/>
    </row>
    <row r="211" ht="22.5" customHeight="1">
      <c r="A211" s="512" t="s">
        <v>159</v>
      </c>
      <c r="B211" s="510">
        <v>2019.0</v>
      </c>
      <c r="C211" s="83" t="s">
        <v>1952</v>
      </c>
      <c r="D211" s="83">
        <f>COUNTIFS(Pledges[Company],A211,Pledges[report year],B211)</f>
        <v>0</v>
      </c>
      <c r="E211" s="83"/>
    </row>
    <row r="212" ht="22.5" customHeight="1">
      <c r="A212" s="514" t="s">
        <v>159</v>
      </c>
      <c r="B212" s="511">
        <v>2020.0</v>
      </c>
      <c r="C212" s="83" t="s">
        <v>1950</v>
      </c>
      <c r="D212" s="83">
        <f>COUNTIFS(Pledges[Company],A212,Pledges[report year],B212)</f>
        <v>8</v>
      </c>
      <c r="E212" s="83"/>
    </row>
    <row r="213" ht="22.5" customHeight="1">
      <c r="A213" s="512" t="s">
        <v>159</v>
      </c>
      <c r="B213" s="510">
        <v>2021.0</v>
      </c>
      <c r="C213" s="83" t="s">
        <v>1952</v>
      </c>
      <c r="D213" s="83">
        <f>COUNTIFS(Pledges[Company],A213,Pledges[report year],B213)</f>
        <v>0</v>
      </c>
      <c r="E213" s="83"/>
    </row>
    <row r="214" ht="22.5" customHeight="1">
      <c r="A214" s="514" t="s">
        <v>159</v>
      </c>
      <c r="B214" s="511">
        <v>2022.0</v>
      </c>
      <c r="C214" s="83" t="s">
        <v>1952</v>
      </c>
      <c r="D214" s="83">
        <f>COUNTIFS(Pledges[Company],A214,Pledges[report year],B214)</f>
        <v>0</v>
      </c>
      <c r="E214" s="83"/>
    </row>
    <row r="215" ht="22.5" customHeight="1">
      <c r="A215" s="512" t="s">
        <v>159</v>
      </c>
      <c r="B215" s="510">
        <v>2023.0</v>
      </c>
      <c r="C215" s="83" t="s">
        <v>1950</v>
      </c>
      <c r="D215" s="83">
        <f>COUNTIFS(Pledges[Company],A215,Pledges[report year],B215)</f>
        <v>1</v>
      </c>
      <c r="E215" s="83"/>
    </row>
    <row r="216" ht="22.5" customHeight="1">
      <c r="A216" s="514" t="s">
        <v>159</v>
      </c>
      <c r="B216" s="511">
        <v>2024.0</v>
      </c>
      <c r="C216" s="83" t="s">
        <v>1952</v>
      </c>
      <c r="D216" s="83">
        <f>COUNTIFS(Pledges[Company],A216,Pledges[report year],B216)</f>
        <v>0</v>
      </c>
      <c r="E216" s="83"/>
    </row>
    <row r="217" ht="22.5" customHeight="1">
      <c r="A217" s="512" t="s">
        <v>159</v>
      </c>
      <c r="B217" s="510">
        <v>2001.0</v>
      </c>
      <c r="C217" s="82" t="s">
        <v>1953</v>
      </c>
      <c r="D217" s="61">
        <f>COUNTIFS(Pledges[Company],A217,Pledges[report year],B217)</f>
        <v>0</v>
      </c>
      <c r="E217" s="61" t="s">
        <v>1951</v>
      </c>
    </row>
    <row r="218" ht="22.5" customHeight="1">
      <c r="A218" s="525" t="s">
        <v>1593</v>
      </c>
      <c r="B218" s="527">
        <v>2003.0</v>
      </c>
      <c r="C218" s="83" t="s">
        <v>1952</v>
      </c>
      <c r="D218" s="83">
        <f>COUNTIFS(Pledges[Company],A218,Pledges[report year],B218)</f>
        <v>0</v>
      </c>
      <c r="E218" s="83"/>
    </row>
    <row r="219" ht="22.5" customHeight="1">
      <c r="A219" s="524" t="s">
        <v>1593</v>
      </c>
      <c r="B219" s="527">
        <v>2004.0</v>
      </c>
      <c r="C219" s="83" t="s">
        <v>1952</v>
      </c>
      <c r="D219" s="83">
        <f>COUNTIFS(Pledges[Company],A219,Pledges[report year],B219)</f>
        <v>0</v>
      </c>
      <c r="E219" s="83"/>
    </row>
    <row r="220" ht="22.5" customHeight="1">
      <c r="A220" s="525" t="s">
        <v>1593</v>
      </c>
      <c r="B220" s="527">
        <v>2006.0</v>
      </c>
      <c r="C220" s="83" t="s">
        <v>1952</v>
      </c>
      <c r="D220" s="83">
        <f>COUNTIFS(Pledges[Company],A220,Pledges[report year],B220)</f>
        <v>0</v>
      </c>
      <c r="E220" s="83"/>
    </row>
    <row r="221" ht="22.5" customHeight="1">
      <c r="A221" s="524" t="s">
        <v>1593</v>
      </c>
      <c r="B221" s="527">
        <v>2009.0</v>
      </c>
      <c r="C221" s="83" t="s">
        <v>1952</v>
      </c>
      <c r="D221" s="83">
        <f>COUNTIFS(Pledges[Company],A221,Pledges[report year],B221)</f>
        <v>0</v>
      </c>
      <c r="E221" s="83"/>
    </row>
    <row r="222" ht="22.5" customHeight="1">
      <c r="A222" s="524" t="s">
        <v>1593</v>
      </c>
      <c r="B222" s="527">
        <v>2010.0</v>
      </c>
      <c r="C222" s="83" t="s">
        <v>1950</v>
      </c>
      <c r="D222" s="83">
        <f>COUNTIFS(Pledges[Company],A222,Pledges[report year],B222)</f>
        <v>4</v>
      </c>
      <c r="E222" s="83"/>
    </row>
    <row r="223" ht="22.5" customHeight="1">
      <c r="A223" s="524" t="s">
        <v>1593</v>
      </c>
      <c r="B223" s="527">
        <v>2012.0</v>
      </c>
      <c r="C223" s="83" t="s">
        <v>1952</v>
      </c>
      <c r="D223" s="83">
        <f>COUNTIFS(Pledges[Company],A223,Pledges[report year],B223)</f>
        <v>0</v>
      </c>
      <c r="E223" s="83"/>
    </row>
    <row r="224" ht="22.5" customHeight="1">
      <c r="A224" s="524" t="s">
        <v>1593</v>
      </c>
      <c r="B224" s="527">
        <v>2013.0</v>
      </c>
      <c r="C224" s="83" t="s">
        <v>1952</v>
      </c>
      <c r="D224" s="83">
        <f>COUNTIFS(Pledges[Company],A224,Pledges[report year],B224)</f>
        <v>0</v>
      </c>
      <c r="E224" s="83"/>
    </row>
    <row r="225" ht="22.5" customHeight="1">
      <c r="A225" s="524" t="s">
        <v>1593</v>
      </c>
      <c r="B225" s="527">
        <v>2014.0</v>
      </c>
      <c r="C225" s="83" t="s">
        <v>1950</v>
      </c>
      <c r="D225" s="83">
        <f>COUNTIFS(Pledges[Company],A225,Pledges[report year],B225)</f>
        <v>1</v>
      </c>
      <c r="E225" s="83"/>
    </row>
    <row r="226" ht="22.5" customHeight="1">
      <c r="A226" s="524" t="s">
        <v>1593</v>
      </c>
      <c r="B226" s="527">
        <v>2015.0</v>
      </c>
      <c r="C226" s="83" t="s">
        <v>1950</v>
      </c>
      <c r="D226" s="83">
        <f>COUNTIFS(Pledges[Company],A226,Pledges[report year],B226)</f>
        <v>2</v>
      </c>
      <c r="E226" s="83"/>
    </row>
    <row r="227" ht="22.5" customHeight="1">
      <c r="A227" s="524" t="s">
        <v>1593</v>
      </c>
      <c r="B227" s="527">
        <v>2016.0</v>
      </c>
      <c r="C227" s="83" t="s">
        <v>1950</v>
      </c>
      <c r="D227" s="83">
        <f>COUNTIFS(Pledges[Company],A227,Pledges[report year],B227)</f>
        <v>5</v>
      </c>
      <c r="E227" s="83"/>
    </row>
    <row r="228" ht="22.5" customHeight="1">
      <c r="A228" s="524" t="s">
        <v>1593</v>
      </c>
      <c r="B228" s="527">
        <v>2017.0</v>
      </c>
      <c r="C228" s="83" t="s">
        <v>1950</v>
      </c>
      <c r="D228" s="83">
        <f>COUNTIFS(Pledges[Company],A228,Pledges[report year],B228)</f>
        <v>2</v>
      </c>
      <c r="E228" s="83"/>
    </row>
    <row r="229" ht="22.5" customHeight="1">
      <c r="A229" s="524" t="s">
        <v>1593</v>
      </c>
      <c r="B229" s="527">
        <v>2018.0</v>
      </c>
      <c r="C229" s="83" t="s">
        <v>1950</v>
      </c>
      <c r="D229" s="83">
        <f>COUNTIFS(Pledges[Company],A229,Pledges[report year],B229)</f>
        <v>4</v>
      </c>
      <c r="E229" s="83"/>
    </row>
    <row r="230" ht="22.5" customHeight="1">
      <c r="A230" s="524" t="s">
        <v>1593</v>
      </c>
      <c r="B230" s="527">
        <v>2019.0</v>
      </c>
      <c r="C230" s="83" t="s">
        <v>1952</v>
      </c>
      <c r="D230" s="83">
        <f>COUNTIFS(Pledges[Company],A230,Pledges[report year],B230)</f>
        <v>0</v>
      </c>
      <c r="E230" s="83"/>
    </row>
    <row r="231" ht="22.5" customHeight="1">
      <c r="A231" s="524" t="s">
        <v>1593</v>
      </c>
      <c r="B231" s="527">
        <v>2020.0</v>
      </c>
      <c r="C231" s="83" t="s">
        <v>1952</v>
      </c>
      <c r="D231" s="83">
        <f>COUNTIFS(Pledges[Company],A231,Pledges[report year],B231)</f>
        <v>0</v>
      </c>
      <c r="E231" s="83"/>
    </row>
    <row r="232" ht="22.5" customHeight="1">
      <c r="A232" s="524" t="s">
        <v>1593</v>
      </c>
      <c r="B232" s="527">
        <v>2021.0</v>
      </c>
      <c r="C232" s="83" t="s">
        <v>1950</v>
      </c>
      <c r="D232" s="83">
        <f>COUNTIFS(Pledges[Company],A232,Pledges[report year],B232)</f>
        <v>1</v>
      </c>
      <c r="E232" s="83"/>
    </row>
    <row r="233" ht="22.5" customHeight="1">
      <c r="A233" s="524" t="s">
        <v>1593</v>
      </c>
      <c r="B233" s="527">
        <v>2022.0</v>
      </c>
      <c r="C233" s="83" t="s">
        <v>1952</v>
      </c>
      <c r="D233" s="83">
        <f>COUNTIFS(Pledges[Company],A233,Pledges[report year],B233)</f>
        <v>0</v>
      </c>
      <c r="E233" s="83"/>
    </row>
    <row r="234" ht="22.5" customHeight="1">
      <c r="A234" s="524" t="s">
        <v>1593</v>
      </c>
      <c r="B234" s="527">
        <v>2023.0</v>
      </c>
      <c r="C234" s="83" t="s">
        <v>1950</v>
      </c>
      <c r="D234" s="83">
        <f>COUNTIFS(Pledges[Company],A234,Pledges[report year],B234)</f>
        <v>1</v>
      </c>
      <c r="E234" s="83"/>
    </row>
    <row r="235" ht="22.5" customHeight="1">
      <c r="A235" s="524" t="s">
        <v>1593</v>
      </c>
      <c r="B235" s="527">
        <v>2024.0</v>
      </c>
      <c r="C235" s="83" t="s">
        <v>1950</v>
      </c>
      <c r="D235" s="83">
        <f>COUNTIFS(Pledges[Company],A235,Pledges[report year],B235)</f>
        <v>1</v>
      </c>
      <c r="E235" s="83"/>
    </row>
    <row r="236" ht="22.5" customHeight="1">
      <c r="A236" s="524" t="s">
        <v>1593</v>
      </c>
      <c r="B236" s="527">
        <v>2000.0</v>
      </c>
      <c r="C236" s="82" t="s">
        <v>1950</v>
      </c>
      <c r="D236" s="61">
        <f>COUNTIFS(Pledges[Company],A236,Pledges[report year],B236)</f>
        <v>1</v>
      </c>
      <c r="E236" s="61" t="s">
        <v>1951</v>
      </c>
    </row>
    <row r="237" ht="22.5" customHeight="1">
      <c r="A237" s="528" t="s">
        <v>101</v>
      </c>
      <c r="B237" s="529">
        <v>2001.0</v>
      </c>
      <c r="C237" s="83" t="s">
        <v>1950</v>
      </c>
      <c r="D237" s="523">
        <f>COUNTIFS(Pledges[Company],A237,Pledges[report year],B237)</f>
        <v>1</v>
      </c>
    </row>
    <row r="238" ht="22.5" customHeight="1">
      <c r="A238" s="528" t="s">
        <v>101</v>
      </c>
      <c r="B238" s="529">
        <v>2002.0</v>
      </c>
      <c r="C238" s="83" t="s">
        <v>1952</v>
      </c>
      <c r="D238" s="523">
        <f>COUNTIFS(Pledges[Company],A238,Pledges[report year],B238)</f>
        <v>0</v>
      </c>
    </row>
    <row r="239" ht="22.5" customHeight="1">
      <c r="A239" s="528" t="s">
        <v>101</v>
      </c>
      <c r="B239" s="529">
        <v>2003.0</v>
      </c>
      <c r="C239" s="83" t="s">
        <v>1950</v>
      </c>
      <c r="D239" s="523">
        <f>COUNTIFS(Pledges[Company],A239,Pledges[report year],B239)</f>
        <v>1</v>
      </c>
    </row>
    <row r="240" ht="22.5" customHeight="1">
      <c r="A240" s="528" t="s">
        <v>101</v>
      </c>
      <c r="B240" s="529">
        <v>2004.0</v>
      </c>
      <c r="C240" s="83" t="s">
        <v>1952</v>
      </c>
      <c r="D240" s="523">
        <f>COUNTIFS(Pledges[Company],A240,Pledges[report year],B240)</f>
        <v>0</v>
      </c>
    </row>
    <row r="241" ht="22.5" customHeight="1">
      <c r="A241" s="528" t="s">
        <v>101</v>
      </c>
      <c r="B241" s="530">
        <v>2005.0</v>
      </c>
      <c r="C241" s="83" t="s">
        <v>1952</v>
      </c>
      <c r="D241" s="523">
        <f>COUNTIFS(Pledges[Company],A241,Pledges[report year],B241)</f>
        <v>0</v>
      </c>
    </row>
    <row r="242" ht="22.5" customHeight="1">
      <c r="A242" s="531" t="s">
        <v>101</v>
      </c>
      <c r="B242" s="532">
        <v>2007.0</v>
      </c>
      <c r="C242" s="83" t="s">
        <v>1952</v>
      </c>
      <c r="D242" s="523">
        <f>COUNTIFS(Pledges[Company],A242,Pledges[report year],B242)</f>
        <v>0</v>
      </c>
    </row>
    <row r="243" ht="22.5" customHeight="1">
      <c r="A243" s="528" t="s">
        <v>101</v>
      </c>
      <c r="B243" s="530">
        <v>2008.0</v>
      </c>
      <c r="C243" s="83" t="s">
        <v>1952</v>
      </c>
      <c r="D243" s="523">
        <f>COUNTIFS(Pledges[Company],A243,Pledges[report year],B243)</f>
        <v>0</v>
      </c>
    </row>
    <row r="244" ht="22.5" customHeight="1">
      <c r="A244" s="531" t="s">
        <v>101</v>
      </c>
      <c r="B244" s="532">
        <v>2009.0</v>
      </c>
      <c r="C244" s="83" t="s">
        <v>1952</v>
      </c>
      <c r="D244" s="523">
        <f>COUNTIFS(Pledges[Company],A244,Pledges[report year],B244)</f>
        <v>0</v>
      </c>
    </row>
    <row r="245" ht="22.5" customHeight="1">
      <c r="A245" s="528" t="s">
        <v>101</v>
      </c>
      <c r="B245" s="530">
        <v>2010.0</v>
      </c>
      <c r="C245" s="83" t="s">
        <v>1950</v>
      </c>
      <c r="D245" s="523">
        <f>COUNTIFS(Pledges[Company],A245,Pledges[report year],B245)</f>
        <v>8</v>
      </c>
    </row>
    <row r="246" ht="22.5" customHeight="1">
      <c r="A246" s="531" t="s">
        <v>101</v>
      </c>
      <c r="B246" s="532">
        <v>2011.0</v>
      </c>
      <c r="C246" s="83" t="s">
        <v>1950</v>
      </c>
      <c r="D246" s="523">
        <f>COUNTIFS(Pledges[Company],A246,Pledges[report year],B246)</f>
        <v>3</v>
      </c>
    </row>
    <row r="247" ht="22.5" customHeight="1">
      <c r="A247" s="528" t="s">
        <v>101</v>
      </c>
      <c r="B247" s="530">
        <v>2012.0</v>
      </c>
      <c r="C247" s="83" t="s">
        <v>1952</v>
      </c>
      <c r="D247" s="523">
        <f>COUNTIFS(Pledges[Company],A247,Pledges[report year],B247)</f>
        <v>0</v>
      </c>
    </row>
    <row r="248" ht="22.5" customHeight="1">
      <c r="A248" s="531" t="s">
        <v>101</v>
      </c>
      <c r="B248" s="532">
        <v>2013.0</v>
      </c>
      <c r="C248" s="83" t="s">
        <v>1952</v>
      </c>
      <c r="D248" s="523">
        <f>COUNTIFS(Pledges[Company],A248,Pledges[report year],B248)</f>
        <v>0</v>
      </c>
    </row>
    <row r="249" ht="22.5" customHeight="1">
      <c r="A249" s="528" t="s">
        <v>101</v>
      </c>
      <c r="B249" s="530">
        <v>2014.0</v>
      </c>
      <c r="C249" s="83" t="s">
        <v>1952</v>
      </c>
      <c r="D249" s="523">
        <f>COUNTIFS(Pledges[Company],A249,Pledges[report year],B249)</f>
        <v>0</v>
      </c>
    </row>
    <row r="250" ht="22.5" customHeight="1">
      <c r="A250" s="531" t="s">
        <v>101</v>
      </c>
      <c r="B250" s="532">
        <v>2015.0</v>
      </c>
      <c r="C250" s="83" t="s">
        <v>1952</v>
      </c>
      <c r="D250" s="523">
        <f>COUNTIFS(Pledges[Company],A250,Pledges[report year],B250)</f>
        <v>0</v>
      </c>
    </row>
    <row r="251" ht="22.5" customHeight="1">
      <c r="A251" s="528" t="s">
        <v>101</v>
      </c>
      <c r="B251" s="530">
        <v>2016.0</v>
      </c>
      <c r="C251" s="83" t="s">
        <v>1950</v>
      </c>
      <c r="D251" s="523">
        <f>COUNTIFS(Pledges[Company],A251,Pledges[report year],B251)</f>
        <v>9</v>
      </c>
    </row>
    <row r="252" ht="22.5" customHeight="1">
      <c r="A252" s="528" t="s">
        <v>101</v>
      </c>
      <c r="B252" s="530">
        <v>2017.0</v>
      </c>
      <c r="C252" s="83" t="s">
        <v>1950</v>
      </c>
      <c r="D252" s="523">
        <f>COUNTIFS(Pledges[Company],A252,Pledges[report year],B252)</f>
        <v>1</v>
      </c>
    </row>
    <row r="253" ht="22.5" customHeight="1">
      <c r="A253" s="531" t="s">
        <v>101</v>
      </c>
      <c r="B253" s="532">
        <v>2018.0</v>
      </c>
      <c r="C253" s="83" t="s">
        <v>1952</v>
      </c>
      <c r="D253" s="523">
        <f>COUNTIFS(Pledges[Company],A253,Pledges[report year],B253)</f>
        <v>0</v>
      </c>
    </row>
    <row r="254" ht="22.5" customHeight="1">
      <c r="A254" s="528" t="s">
        <v>101</v>
      </c>
      <c r="B254" s="530">
        <v>2019.0</v>
      </c>
      <c r="C254" s="83" t="s">
        <v>1952</v>
      </c>
      <c r="D254" s="523">
        <f>COUNTIFS(Pledges[Company],A254,Pledges[report year],B254)</f>
        <v>0</v>
      </c>
    </row>
    <row r="255" ht="22.5" customHeight="1">
      <c r="A255" s="531" t="s">
        <v>101</v>
      </c>
      <c r="B255" s="532">
        <v>2020.0</v>
      </c>
      <c r="C255" s="83" t="s">
        <v>1952</v>
      </c>
      <c r="D255" s="523">
        <f>COUNTIFS(Pledges[Company],A255,Pledges[report year],B255)</f>
        <v>0</v>
      </c>
    </row>
    <row r="256" ht="22.5" customHeight="1">
      <c r="A256" s="528" t="s">
        <v>101</v>
      </c>
      <c r="B256" s="530">
        <v>2021.0</v>
      </c>
      <c r="C256" s="83" t="s">
        <v>1950</v>
      </c>
      <c r="D256" s="523">
        <f>COUNTIFS(Pledges[Company],A256,Pledges[report year],B256)</f>
        <v>8</v>
      </c>
    </row>
    <row r="257" ht="22.5" customHeight="1">
      <c r="A257" s="531" t="s">
        <v>101</v>
      </c>
      <c r="B257" s="530">
        <v>2022.0</v>
      </c>
      <c r="C257" s="83" t="s">
        <v>1952</v>
      </c>
      <c r="D257" s="523">
        <f>COUNTIFS(Pledges[Company],A257,Pledges[report year],B257)</f>
        <v>0</v>
      </c>
    </row>
    <row r="258" ht="22.5" customHeight="1">
      <c r="A258" s="528" t="s">
        <v>101</v>
      </c>
      <c r="B258" s="530">
        <v>2023.0</v>
      </c>
      <c r="C258" s="83" t="s">
        <v>1950</v>
      </c>
      <c r="D258" s="523">
        <f>COUNTIFS(Pledges[Company],A258,Pledges[report year],B258)</f>
        <v>1</v>
      </c>
    </row>
    <row r="259" ht="22.5" customHeight="1">
      <c r="A259" s="531" t="s">
        <v>101</v>
      </c>
      <c r="B259" s="530">
        <v>2024.0</v>
      </c>
      <c r="C259" s="83" t="s">
        <v>1950</v>
      </c>
      <c r="D259" s="523">
        <f>COUNTIFS(Pledges[Company],A259,Pledges[report year],B259)</f>
        <v>10</v>
      </c>
    </row>
    <row r="260" ht="22.5" customHeight="1">
      <c r="A260" s="528" t="s">
        <v>101</v>
      </c>
      <c r="B260" s="533">
        <v>2000.0</v>
      </c>
      <c r="C260" s="82" t="s">
        <v>1950</v>
      </c>
      <c r="D260" s="53">
        <f>COUNTIFS(Pledges[Company],A260,Pledges[report year],B260)</f>
        <v>3</v>
      </c>
      <c r="E260" s="53" t="s">
        <v>1951</v>
      </c>
    </row>
  </sheetData>
  <dataValidations>
    <dataValidation type="custom" allowBlank="1" showDropDown="1" sqref="B5:B260">
      <formula1>AND(ISNUMBER(B5),(NOT(OR(NOT(ISERROR(DATEVALUE(B5))), AND(ISNUMBER(B5), LEFT(CELL("format", B5))="D")))))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4" width="14.13"/>
    <col customWidth="1" min="5" max="5" width="14.25"/>
    <col customWidth="1" min="6" max="6" width="18.88"/>
    <col customWidth="1" min="7" max="9" width="12.88"/>
    <col customWidth="1" min="11" max="11" width="7.88"/>
    <col customWidth="1" min="12" max="13" width="11.38"/>
    <col customWidth="1" min="14" max="14" width="8.38"/>
    <col customWidth="1" min="18" max="18" width="14.13"/>
    <col customWidth="1" min="19" max="19" width="13.5"/>
    <col customWidth="1" min="20" max="20" width="12.88"/>
    <col customWidth="1" min="21" max="21" width="23.0"/>
    <col customWidth="1" min="23" max="23" width="37.75"/>
  </cols>
  <sheetData>
    <row r="2" ht="22.5" customHeight="1">
      <c r="A2" s="469" t="s">
        <v>1954</v>
      </c>
      <c r="B2" s="509" t="s">
        <v>1955</v>
      </c>
      <c r="C2" s="469" t="s">
        <v>21</v>
      </c>
      <c r="D2" s="509" t="s">
        <v>1956</v>
      </c>
      <c r="E2" s="469" t="s">
        <v>51</v>
      </c>
      <c r="F2" s="469" t="s">
        <v>56</v>
      </c>
      <c r="G2" s="469" t="s">
        <v>1957</v>
      </c>
      <c r="H2" s="469" t="s">
        <v>1958</v>
      </c>
      <c r="I2" s="469" t="s">
        <v>1959</v>
      </c>
      <c r="J2" s="509" t="s">
        <v>869</v>
      </c>
      <c r="K2" s="469" t="s">
        <v>94</v>
      </c>
      <c r="M2" s="469" t="s">
        <v>1954</v>
      </c>
      <c r="N2" s="469" t="s">
        <v>21</v>
      </c>
      <c r="O2" s="469" t="s">
        <v>51</v>
      </c>
      <c r="P2" s="469" t="s">
        <v>56</v>
      </c>
      <c r="Q2" s="469" t="s">
        <v>1960</v>
      </c>
      <c r="R2" s="469" t="s">
        <v>1961</v>
      </c>
      <c r="S2" s="469" t="s">
        <v>1962</v>
      </c>
      <c r="T2" s="469" t="s">
        <v>94</v>
      </c>
    </row>
    <row r="3" ht="22.5" customHeight="1">
      <c r="A3" s="52">
        <v>7.0</v>
      </c>
      <c r="B3" s="53" t="s">
        <v>1951</v>
      </c>
      <c r="C3" s="52" t="s">
        <v>101</v>
      </c>
      <c r="D3" s="53" t="s">
        <v>207</v>
      </c>
      <c r="E3" s="52">
        <v>2010.0</v>
      </c>
      <c r="F3" s="52">
        <v>2015.0</v>
      </c>
      <c r="G3" s="52">
        <v>43.0</v>
      </c>
      <c r="H3" s="52">
        <v>40.0</v>
      </c>
      <c r="J3" s="53" t="s">
        <v>693</v>
      </c>
      <c r="K3" s="52" t="s">
        <v>253</v>
      </c>
      <c r="M3" s="52">
        <v>44.0</v>
      </c>
      <c r="N3" s="52" t="s">
        <v>101</v>
      </c>
      <c r="O3" s="52">
        <v>2024.0</v>
      </c>
      <c r="P3" s="52">
        <v>2030.0</v>
      </c>
      <c r="T3" s="52" t="s">
        <v>375</v>
      </c>
    </row>
    <row r="4" ht="22.5" customHeight="1">
      <c r="A4" s="52">
        <v>18.0</v>
      </c>
      <c r="B4" s="53" t="s">
        <v>1951</v>
      </c>
      <c r="C4" s="52" t="s">
        <v>101</v>
      </c>
      <c r="D4" s="53" t="s">
        <v>207</v>
      </c>
      <c r="E4" s="52">
        <v>2010.0</v>
      </c>
      <c r="F4" s="52">
        <v>2018.0</v>
      </c>
      <c r="G4" s="52">
        <v>100.0</v>
      </c>
      <c r="H4" s="52">
        <v>100.0</v>
      </c>
      <c r="J4" s="53" t="s">
        <v>693</v>
      </c>
      <c r="K4" s="52" t="s">
        <v>291</v>
      </c>
      <c r="M4" s="52">
        <v>195.0</v>
      </c>
      <c r="N4" s="52" t="s">
        <v>129</v>
      </c>
      <c r="O4" s="52">
        <v>2024.0</v>
      </c>
      <c r="P4" s="52">
        <v>2025.0</v>
      </c>
      <c r="R4" s="52"/>
      <c r="S4" s="52">
        <v>100.0</v>
      </c>
      <c r="T4" s="52" t="s">
        <v>786</v>
      </c>
    </row>
    <row r="5" ht="22.5" customHeight="1">
      <c r="A5" s="52">
        <v>74.0</v>
      </c>
      <c r="B5" s="53" t="s">
        <v>1951</v>
      </c>
      <c r="C5" s="52" t="s">
        <v>132</v>
      </c>
      <c r="D5" s="53" t="s">
        <v>207</v>
      </c>
      <c r="E5" s="52">
        <v>2009.0</v>
      </c>
      <c r="F5" s="52">
        <v>2020.0</v>
      </c>
      <c r="G5" s="52">
        <v>100.0</v>
      </c>
      <c r="H5" s="52">
        <v>100.0</v>
      </c>
      <c r="I5" s="52">
        <v>22.0</v>
      </c>
      <c r="J5" s="53" t="s">
        <v>693</v>
      </c>
      <c r="K5" s="52" t="s">
        <v>499</v>
      </c>
      <c r="M5" s="52">
        <v>84.0</v>
      </c>
      <c r="N5" s="52" t="s">
        <v>132</v>
      </c>
      <c r="O5" s="52">
        <v>2010.0</v>
      </c>
      <c r="P5" s="52">
        <v>2011.0</v>
      </c>
      <c r="R5" s="52" t="s">
        <v>1963</v>
      </c>
      <c r="S5" s="52" t="s">
        <v>1964</v>
      </c>
      <c r="T5" s="52" t="s">
        <v>531</v>
      </c>
    </row>
    <row r="6" ht="22.5" customHeight="1">
      <c r="A6" s="52">
        <v>422.0</v>
      </c>
      <c r="B6" s="53" t="s">
        <v>1951</v>
      </c>
      <c r="C6" s="52" t="s">
        <v>1339</v>
      </c>
      <c r="D6" s="53" t="s">
        <v>219</v>
      </c>
      <c r="E6" s="52">
        <v>2016.0</v>
      </c>
      <c r="F6" s="52">
        <v>2020.0</v>
      </c>
      <c r="G6" s="52">
        <v>85.0</v>
      </c>
      <c r="H6" s="52">
        <v>100.0</v>
      </c>
      <c r="J6" s="53" t="s">
        <v>693</v>
      </c>
      <c r="K6" s="52" t="s">
        <v>1340</v>
      </c>
      <c r="M6" s="52">
        <v>87.0</v>
      </c>
      <c r="N6" s="52" t="s">
        <v>132</v>
      </c>
      <c r="O6" s="52">
        <v>2011.0</v>
      </c>
      <c r="P6" s="52">
        <v>2012.0</v>
      </c>
      <c r="Q6" s="52" t="s">
        <v>1963</v>
      </c>
      <c r="R6" s="534">
        <v>0.27</v>
      </c>
      <c r="S6" s="52" t="s">
        <v>1965</v>
      </c>
      <c r="T6" s="52" t="s">
        <v>541</v>
      </c>
    </row>
    <row r="7" ht="22.5" customHeight="1">
      <c r="A7" s="53">
        <v>632.0</v>
      </c>
      <c r="B7" s="53" t="s">
        <v>1951</v>
      </c>
      <c r="C7" s="52" t="s">
        <v>1593</v>
      </c>
      <c r="D7" s="53" t="s">
        <v>207</v>
      </c>
      <c r="E7" s="52">
        <v>2018.0</v>
      </c>
      <c r="F7" s="52">
        <v>2020.0</v>
      </c>
      <c r="G7" s="53">
        <v>99.5</v>
      </c>
      <c r="H7" s="52">
        <v>90.0</v>
      </c>
      <c r="J7" s="53" t="s">
        <v>693</v>
      </c>
      <c r="K7" s="52" t="s">
        <v>1966</v>
      </c>
      <c r="M7" s="52">
        <v>213.0</v>
      </c>
      <c r="N7" s="52" t="s">
        <v>140</v>
      </c>
      <c r="O7" s="52">
        <v>2021.0</v>
      </c>
      <c r="P7" s="52">
        <v>2024.0</v>
      </c>
      <c r="R7" s="52">
        <v>70.0</v>
      </c>
      <c r="S7" s="52">
        <v>100.0</v>
      </c>
      <c r="T7" s="52" t="s">
        <v>823</v>
      </c>
    </row>
    <row r="8" ht="22.5" customHeight="1">
      <c r="A8" s="52">
        <v>342.0</v>
      </c>
      <c r="B8" s="53" t="s">
        <v>1951</v>
      </c>
      <c r="C8" s="52" t="s">
        <v>159</v>
      </c>
      <c r="D8" s="53" t="s">
        <v>219</v>
      </c>
      <c r="E8" s="52">
        <v>2017.0</v>
      </c>
      <c r="F8" s="52">
        <v>2020.0</v>
      </c>
      <c r="G8" s="53">
        <v>51.0</v>
      </c>
      <c r="H8" s="52">
        <v>70.0</v>
      </c>
      <c r="J8" s="53" t="s">
        <v>693</v>
      </c>
      <c r="K8" s="52" t="s">
        <v>1163</v>
      </c>
      <c r="M8" s="52">
        <v>226.0</v>
      </c>
      <c r="N8" s="52" t="s">
        <v>140</v>
      </c>
      <c r="O8" s="52">
        <v>2023.0</v>
      </c>
      <c r="P8" s="52">
        <v>2024.0</v>
      </c>
      <c r="R8" s="52">
        <v>59.0</v>
      </c>
      <c r="S8" s="52">
        <v>75.0</v>
      </c>
      <c r="T8" s="52" t="s">
        <v>854</v>
      </c>
    </row>
    <row r="9" ht="22.5" customHeight="1">
      <c r="A9" s="52">
        <v>251.0</v>
      </c>
      <c r="B9" s="53" t="s">
        <v>1951</v>
      </c>
      <c r="C9" s="52" t="s">
        <v>193</v>
      </c>
      <c r="D9" s="53" t="s">
        <v>207</v>
      </c>
      <c r="E9" s="52">
        <v>2019.0</v>
      </c>
      <c r="F9" s="52">
        <v>2020.0</v>
      </c>
      <c r="G9" s="52">
        <v>54.2</v>
      </c>
      <c r="H9" s="52">
        <v>50.0</v>
      </c>
      <c r="J9" s="53" t="s">
        <v>693</v>
      </c>
      <c r="K9" s="52" t="s">
        <v>938</v>
      </c>
      <c r="M9" s="52">
        <v>339.0</v>
      </c>
      <c r="N9" s="52" t="s">
        <v>159</v>
      </c>
      <c r="O9" s="52">
        <v>2017.0</v>
      </c>
      <c r="P9" s="52">
        <v>2020.0</v>
      </c>
      <c r="R9" s="52">
        <v>74.0</v>
      </c>
      <c r="S9" s="52">
        <v>70.0</v>
      </c>
      <c r="T9" s="52" t="s">
        <v>1157</v>
      </c>
    </row>
    <row r="10" ht="22.5" customHeight="1">
      <c r="A10" s="52">
        <v>434.0</v>
      </c>
      <c r="B10" s="53" t="s">
        <v>1951</v>
      </c>
      <c r="C10" s="52" t="s">
        <v>1339</v>
      </c>
      <c r="D10" s="53" t="s">
        <v>207</v>
      </c>
      <c r="E10" s="52">
        <v>2020.0</v>
      </c>
      <c r="F10" s="52">
        <v>2021.0</v>
      </c>
      <c r="G10" s="52">
        <v>100.0</v>
      </c>
      <c r="H10" s="52">
        <v>100.0</v>
      </c>
      <c r="I10" s="52">
        <v>85.0</v>
      </c>
      <c r="J10" s="53" t="s">
        <v>693</v>
      </c>
      <c r="K10" s="52" t="s">
        <v>1382</v>
      </c>
      <c r="M10" s="52">
        <v>575.0</v>
      </c>
      <c r="N10" s="52" t="s">
        <v>1593</v>
      </c>
      <c r="O10" s="52">
        <v>2015.0</v>
      </c>
      <c r="P10" s="52">
        <v>2020.0</v>
      </c>
      <c r="Q10" s="52" t="s">
        <v>1967</v>
      </c>
      <c r="R10" s="52" t="s">
        <v>1968</v>
      </c>
      <c r="S10" s="52" t="s">
        <v>1969</v>
      </c>
      <c r="T10" s="52" t="s">
        <v>1970</v>
      </c>
    </row>
    <row r="11" ht="22.5" customHeight="1">
      <c r="A11" s="52">
        <v>371.0</v>
      </c>
      <c r="B11" s="53" t="s">
        <v>1951</v>
      </c>
      <c r="C11" s="52" t="s">
        <v>164</v>
      </c>
      <c r="D11" s="53" t="s">
        <v>207</v>
      </c>
      <c r="E11" s="52">
        <v>2017.0</v>
      </c>
      <c r="F11" s="52">
        <v>2022.0</v>
      </c>
      <c r="G11" s="52">
        <v>93.0</v>
      </c>
      <c r="H11" s="52">
        <v>50.0</v>
      </c>
      <c r="J11" s="53" t="s">
        <v>693</v>
      </c>
      <c r="K11" s="52" t="s">
        <v>1214</v>
      </c>
      <c r="M11" s="52">
        <v>600.0</v>
      </c>
      <c r="N11" s="52" t="s">
        <v>1593</v>
      </c>
      <c r="O11" s="52">
        <v>2020.0</v>
      </c>
      <c r="P11" s="52">
        <v>2025.0</v>
      </c>
      <c r="Q11" s="52" t="s">
        <v>1971</v>
      </c>
      <c r="S11" s="52">
        <v>100.0</v>
      </c>
      <c r="T11" s="52" t="s">
        <v>1701</v>
      </c>
    </row>
    <row r="12" ht="22.5" customHeight="1">
      <c r="A12" s="52">
        <v>276.0</v>
      </c>
      <c r="B12" s="53" t="s">
        <v>1951</v>
      </c>
      <c r="C12" s="52" t="s">
        <v>144</v>
      </c>
      <c r="D12" s="53" t="s">
        <v>207</v>
      </c>
      <c r="E12" s="52">
        <v>2021.0</v>
      </c>
      <c r="F12" s="52">
        <v>2023.0</v>
      </c>
      <c r="G12" s="53">
        <v>96.0</v>
      </c>
      <c r="H12" s="52">
        <v>100.0</v>
      </c>
      <c r="J12" s="53" t="s">
        <v>693</v>
      </c>
      <c r="K12" s="52" t="s">
        <v>1020</v>
      </c>
      <c r="M12" s="52">
        <v>595.0</v>
      </c>
      <c r="N12" s="52" t="s">
        <v>1593</v>
      </c>
      <c r="O12" s="52">
        <v>2020.0</v>
      </c>
      <c r="P12" s="52">
        <v>2025.0</v>
      </c>
      <c r="T12" s="52" t="s">
        <v>1689</v>
      </c>
    </row>
    <row r="13" ht="22.5" customHeight="1">
      <c r="A13" s="52">
        <v>373.0</v>
      </c>
      <c r="B13" s="53" t="s">
        <v>1951</v>
      </c>
      <c r="C13" s="52" t="s">
        <v>164</v>
      </c>
      <c r="D13" s="53" t="s">
        <v>343</v>
      </c>
      <c r="E13" s="52">
        <v>2022.0</v>
      </c>
      <c r="F13" s="52">
        <v>2025.0</v>
      </c>
      <c r="H13" s="52">
        <v>100.0</v>
      </c>
      <c r="J13" s="53" t="s">
        <v>693</v>
      </c>
      <c r="K13" s="52" t="s">
        <v>291</v>
      </c>
      <c r="M13" s="52">
        <v>262.0</v>
      </c>
      <c r="N13" s="52" t="s">
        <v>193</v>
      </c>
      <c r="O13" s="52">
        <v>2021.0</v>
      </c>
      <c r="P13" s="52">
        <v>2023.0</v>
      </c>
      <c r="R13" s="52">
        <v>100.0</v>
      </c>
      <c r="S13" s="52">
        <v>100.0</v>
      </c>
      <c r="T13" s="52" t="s">
        <v>974</v>
      </c>
    </row>
    <row r="14" ht="22.5" customHeight="1">
      <c r="A14" s="52">
        <v>417.0</v>
      </c>
      <c r="B14" s="53" t="s">
        <v>1951</v>
      </c>
      <c r="C14" s="523" t="s">
        <v>166</v>
      </c>
      <c r="D14" s="53" t="s">
        <v>343</v>
      </c>
      <c r="E14" s="523">
        <v>2022.0</v>
      </c>
      <c r="F14" s="523">
        <v>2025.0</v>
      </c>
      <c r="H14" s="52">
        <v>50.0</v>
      </c>
      <c r="I14" s="53">
        <v>12.0</v>
      </c>
      <c r="J14" s="53" t="s">
        <v>693</v>
      </c>
      <c r="K14" s="53" t="s">
        <v>1972</v>
      </c>
    </row>
    <row r="15" ht="22.5" customHeight="1">
      <c r="A15" s="52">
        <v>472.0</v>
      </c>
      <c r="B15" s="53" t="s">
        <v>1951</v>
      </c>
      <c r="C15" s="523" t="s">
        <v>1449</v>
      </c>
      <c r="D15" s="53" t="s">
        <v>343</v>
      </c>
      <c r="E15" s="523">
        <v>2023.0</v>
      </c>
      <c r="F15" s="523">
        <v>2026.0</v>
      </c>
      <c r="H15" s="53">
        <v>70.0</v>
      </c>
      <c r="I15" s="52">
        <v>36.0</v>
      </c>
      <c r="J15" s="53" t="s">
        <v>693</v>
      </c>
      <c r="K15" s="523" t="s">
        <v>1494</v>
      </c>
    </row>
    <row r="16" ht="22.5" customHeight="1">
      <c r="A16" s="52">
        <v>261.0</v>
      </c>
      <c r="C16" s="52" t="s">
        <v>193</v>
      </c>
      <c r="D16" s="53" t="s">
        <v>219</v>
      </c>
      <c r="E16" s="52">
        <v>2021.0</v>
      </c>
      <c r="F16" s="52">
        <v>2023.0</v>
      </c>
      <c r="G16" s="52">
        <f>38.2+35.7+18.3</f>
        <v>92.2</v>
      </c>
      <c r="H16" s="52">
        <v>100.0</v>
      </c>
      <c r="J16" s="53" t="s">
        <v>693</v>
      </c>
      <c r="K16" s="52" t="s">
        <v>970</v>
      </c>
    </row>
    <row r="17" ht="22.5" customHeight="1">
      <c r="A17" s="52">
        <v>228.0</v>
      </c>
      <c r="C17" s="52" t="s">
        <v>140</v>
      </c>
      <c r="D17" s="53" t="s">
        <v>207</v>
      </c>
      <c r="E17" s="52">
        <v>2022.0</v>
      </c>
      <c r="F17" s="52">
        <v>2023.0</v>
      </c>
      <c r="G17" s="52">
        <v>50.0</v>
      </c>
      <c r="H17" s="52">
        <v>50.0</v>
      </c>
      <c r="J17" s="53" t="s">
        <v>693</v>
      </c>
      <c r="K17" s="52" t="s">
        <v>858</v>
      </c>
    </row>
    <row r="18" ht="22.5" customHeight="1">
      <c r="A18" s="52">
        <v>231.0</v>
      </c>
      <c r="C18" s="52" t="s">
        <v>140</v>
      </c>
      <c r="D18" s="53" t="s">
        <v>343</v>
      </c>
      <c r="E18" s="52">
        <v>2023.0</v>
      </c>
      <c r="F18" s="52">
        <v>2025.0</v>
      </c>
      <c r="H18" s="52">
        <v>100.0</v>
      </c>
      <c r="J18" s="53" t="s">
        <v>693</v>
      </c>
      <c r="K18" s="52" t="s">
        <v>865</v>
      </c>
    </row>
    <row r="19" ht="22.5" customHeight="1">
      <c r="A19" s="52">
        <v>270.0</v>
      </c>
      <c r="C19" s="52" t="s">
        <v>193</v>
      </c>
      <c r="D19" s="53" t="s">
        <v>343</v>
      </c>
      <c r="E19" s="52">
        <v>2024.0</v>
      </c>
      <c r="F19" s="52">
        <v>2033.0</v>
      </c>
      <c r="H19" s="52">
        <v>100.0</v>
      </c>
      <c r="J19" s="53" t="s">
        <v>693</v>
      </c>
      <c r="K19" s="52" t="s">
        <v>999</v>
      </c>
    </row>
    <row r="20" ht="22.5" customHeight="1">
      <c r="A20" s="52">
        <v>53.0</v>
      </c>
      <c r="B20" s="52"/>
      <c r="C20" s="52" t="s">
        <v>132</v>
      </c>
      <c r="D20" s="52"/>
      <c r="E20" s="52">
        <v>2003.0</v>
      </c>
      <c r="F20" s="52">
        <v>2004.0</v>
      </c>
      <c r="G20" s="52">
        <v>5.0</v>
      </c>
      <c r="H20" s="52">
        <v>5.0</v>
      </c>
      <c r="I20" s="53"/>
      <c r="J20" s="53" t="s">
        <v>693</v>
      </c>
      <c r="K20" s="52" t="s">
        <v>399</v>
      </c>
    </row>
    <row r="21" ht="22.5" customHeight="1">
      <c r="A21" s="52">
        <v>54.0</v>
      </c>
      <c r="B21" s="52"/>
      <c r="C21" s="52" t="s">
        <v>132</v>
      </c>
      <c r="D21" s="52"/>
      <c r="E21" s="52">
        <v>2004.0</v>
      </c>
      <c r="F21" s="52">
        <v>2005.0</v>
      </c>
      <c r="G21" s="53">
        <v>40.0</v>
      </c>
      <c r="H21" s="53">
        <v>20.0</v>
      </c>
      <c r="I21" s="53"/>
      <c r="J21" s="53" t="s">
        <v>1973</v>
      </c>
      <c r="K21" s="52" t="s">
        <v>404</v>
      </c>
    </row>
    <row r="22" ht="22.5" customHeight="1">
      <c r="A22" s="52">
        <v>57.0</v>
      </c>
      <c r="B22" s="52"/>
      <c r="C22" s="52" t="s">
        <v>132</v>
      </c>
      <c r="D22" s="52"/>
      <c r="E22" s="52">
        <v>2006.0</v>
      </c>
      <c r="F22" s="52">
        <v>2007.0</v>
      </c>
      <c r="H22" s="52">
        <v>100.0</v>
      </c>
      <c r="I22" s="53"/>
      <c r="J22" s="53" t="s">
        <v>693</v>
      </c>
      <c r="K22" s="52" t="s">
        <v>418</v>
      </c>
    </row>
    <row r="23" ht="22.5" customHeight="1">
      <c r="A23" s="52">
        <v>56.0</v>
      </c>
      <c r="B23" s="52"/>
      <c r="C23" s="52" t="s">
        <v>132</v>
      </c>
      <c r="D23" s="52"/>
      <c r="E23" s="52">
        <v>2006.0</v>
      </c>
      <c r="F23" s="52">
        <v>2007.0</v>
      </c>
      <c r="G23" s="53">
        <v>78.0</v>
      </c>
      <c r="H23" s="53">
        <v>100.0</v>
      </c>
      <c r="I23" s="53"/>
      <c r="J23" s="53" t="s">
        <v>1973</v>
      </c>
      <c r="K23" s="52" t="s">
        <v>413</v>
      </c>
    </row>
    <row r="24" ht="22.5" customHeight="1">
      <c r="A24" s="52">
        <v>60.0</v>
      </c>
      <c r="B24" s="52"/>
      <c r="C24" s="52" t="s">
        <v>132</v>
      </c>
      <c r="D24" s="52"/>
      <c r="E24" s="52">
        <v>2007.0</v>
      </c>
      <c r="F24" s="52">
        <v>2008.0</v>
      </c>
      <c r="G24" s="53">
        <v>3000.0</v>
      </c>
      <c r="H24" s="52" t="str">
        <f>#REF!*1.5</f>
        <v>#REF!</v>
      </c>
      <c r="I24" s="53"/>
      <c r="J24" s="53" t="s">
        <v>1973</v>
      </c>
      <c r="K24" s="52" t="s">
        <v>430</v>
      </c>
    </row>
    <row r="25" ht="22.5" customHeight="1">
      <c r="A25" s="52">
        <v>59.0</v>
      </c>
      <c r="B25" s="52"/>
      <c r="C25" s="52" t="s">
        <v>132</v>
      </c>
      <c r="D25" s="52"/>
      <c r="E25" s="52">
        <v>2007.0</v>
      </c>
      <c r="F25" s="52">
        <v>2008.0</v>
      </c>
      <c r="H25" s="53">
        <v>50.0</v>
      </c>
      <c r="I25" s="53"/>
      <c r="J25" s="53" t="s">
        <v>1973</v>
      </c>
      <c r="K25" s="52" t="s">
        <v>425</v>
      </c>
    </row>
    <row r="26" ht="22.5" customHeight="1">
      <c r="A26" s="52">
        <v>63.0</v>
      </c>
      <c r="B26" s="52"/>
      <c r="C26" s="52" t="s">
        <v>132</v>
      </c>
      <c r="D26" s="52"/>
      <c r="E26" s="52">
        <v>2008.0</v>
      </c>
      <c r="F26" s="52">
        <v>2009.0</v>
      </c>
      <c r="H26" s="53">
        <v>250.0</v>
      </c>
      <c r="I26" s="53"/>
      <c r="J26" s="53" t="s">
        <v>1973</v>
      </c>
      <c r="K26" s="52" t="s">
        <v>445</v>
      </c>
    </row>
    <row r="27" ht="22.5" customHeight="1">
      <c r="A27" s="52">
        <v>67.0</v>
      </c>
      <c r="B27" s="52"/>
      <c r="C27" s="52" t="s">
        <v>132</v>
      </c>
      <c r="D27" s="52"/>
      <c r="E27" s="52">
        <v>2009.0</v>
      </c>
      <c r="F27" s="52">
        <v>2010.0</v>
      </c>
      <c r="H27" s="52">
        <v>100.0</v>
      </c>
      <c r="I27" s="53"/>
      <c r="J27" s="53" t="s">
        <v>693</v>
      </c>
      <c r="K27" s="52" t="s">
        <v>465</v>
      </c>
    </row>
    <row r="28" ht="22.5" customHeight="1">
      <c r="A28" s="52">
        <v>85.0</v>
      </c>
      <c r="B28" s="52"/>
      <c r="C28" s="52" t="s">
        <v>132</v>
      </c>
      <c r="D28" s="52"/>
      <c r="E28" s="52">
        <v>2011.0</v>
      </c>
      <c r="F28" s="52">
        <v>2012.0</v>
      </c>
      <c r="H28" s="52">
        <v>100.0</v>
      </c>
      <c r="I28" s="53"/>
      <c r="J28" s="53" t="s">
        <v>693</v>
      </c>
      <c r="K28" s="52" t="s">
        <v>534</v>
      </c>
    </row>
    <row r="29" ht="22.5" customHeight="1">
      <c r="A29" s="52">
        <v>71.0</v>
      </c>
      <c r="B29" s="52"/>
      <c r="C29" s="52" t="s">
        <v>132</v>
      </c>
      <c r="D29" s="52"/>
      <c r="E29" s="52">
        <v>2008.0</v>
      </c>
      <c r="F29" s="52">
        <v>2013.0</v>
      </c>
      <c r="G29" s="53">
        <v>15000.0</v>
      </c>
      <c r="H29" s="53">
        <v>15000.0</v>
      </c>
      <c r="I29" s="53"/>
      <c r="J29" s="53" t="s">
        <v>1973</v>
      </c>
      <c r="K29" s="52" t="s">
        <v>477</v>
      </c>
    </row>
    <row r="30" ht="22.5" customHeight="1">
      <c r="A30" s="52">
        <v>521.0</v>
      </c>
      <c r="B30" s="52"/>
      <c r="C30" s="52" t="s">
        <v>199</v>
      </c>
      <c r="D30" s="52"/>
      <c r="E30" s="52">
        <v>2018.0</v>
      </c>
      <c r="F30" s="52">
        <v>2022.0</v>
      </c>
      <c r="G30" s="53">
        <v>252800.0</v>
      </c>
      <c r="H30" s="53">
        <v>160000.0</v>
      </c>
      <c r="I30" s="53"/>
      <c r="J30" s="53" t="s">
        <v>1974</v>
      </c>
      <c r="K30" s="52" t="s">
        <v>1560</v>
      </c>
    </row>
    <row r="31" ht="22.5" customHeight="1">
      <c r="A31" s="52">
        <v>530.0</v>
      </c>
      <c r="B31" s="52"/>
      <c r="C31" s="52" t="s">
        <v>199</v>
      </c>
      <c r="D31" s="52"/>
      <c r="E31" s="52">
        <v>2022.0</v>
      </c>
      <c r="F31" s="52">
        <v>2023.0</v>
      </c>
      <c r="G31" s="53">
        <v>299388.0</v>
      </c>
      <c r="H31" s="53">
        <v>275000.0</v>
      </c>
      <c r="I31" s="53"/>
      <c r="J31" s="53" t="s">
        <v>1974</v>
      </c>
      <c r="K31" s="52" t="s">
        <v>1590</v>
      </c>
    </row>
    <row r="32" ht="22.5" customHeight="1">
      <c r="A32" s="52">
        <v>600.0</v>
      </c>
      <c r="B32" s="52"/>
      <c r="C32" s="52" t="s">
        <v>1593</v>
      </c>
      <c r="D32" s="52"/>
      <c r="E32" s="52">
        <v>2020.0</v>
      </c>
      <c r="F32" s="52">
        <v>2025.0</v>
      </c>
      <c r="H32" s="52">
        <v>100.0</v>
      </c>
      <c r="I32" s="53"/>
      <c r="J32" s="53" t="s">
        <v>693</v>
      </c>
      <c r="K32" s="52" t="s">
        <v>1701</v>
      </c>
    </row>
    <row r="33" ht="22.5" customHeight="1">
      <c r="A33" s="52">
        <v>442.0</v>
      </c>
      <c r="B33" s="52"/>
      <c r="C33" s="52" t="s">
        <v>1339</v>
      </c>
      <c r="D33" s="52"/>
      <c r="E33" s="52">
        <v>2021.0</v>
      </c>
      <c r="F33" s="52">
        <v>2025.0</v>
      </c>
      <c r="H33" s="52">
        <v>90.0</v>
      </c>
      <c r="I33" s="53"/>
      <c r="J33" s="53" t="s">
        <v>693</v>
      </c>
      <c r="K33" s="52" t="s">
        <v>1417</v>
      </c>
    </row>
  </sheetData>
  <drawing r:id="rId1"/>
  <tableParts count="2">
    <tablePart r:id="rId4"/>
    <tablePart r:id="rId5"/>
  </tableParts>
</worksheet>
</file>